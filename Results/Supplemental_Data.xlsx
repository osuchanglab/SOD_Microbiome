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udermann/Documents/Postdoc/SOD_microbiome_analysis/Results/"/>
    </mc:Choice>
  </mc:AlternateContent>
  <xr:revisionPtr revIDLastSave="0" documentId="13_ncr:1_{185A9EFB-F364-A843-A8F1-B7C7262217A9}" xr6:coauthVersionLast="47" xr6:coauthVersionMax="47" xr10:uidLastSave="{00000000-0000-0000-0000-000000000000}"/>
  <bookViews>
    <workbookView xWindow="37700" yWindow="3560" windowWidth="27740" windowHeight="17760" firstSheet="15" activeTab="19" xr2:uid="{E2B1EE82-7023-514B-A30B-3E23F8BCD153}"/>
  </bookViews>
  <sheets>
    <sheet name="S1-ANOVA" sheetId="1" r:id="rId1"/>
    <sheet name="S2-PERMANOVA" sheetId="2" r:id="rId2"/>
    <sheet name="S3-16S_Trtuntrt_nowf_phylum" sheetId="3" r:id="rId3"/>
    <sheet name="S4-16S_Trtuntrt_nowf_genus" sheetId="4" r:id="rId4"/>
    <sheet name="S5-ITS_Trtuntrt_nowf_phylum" sheetId="9" r:id="rId5"/>
    <sheet name="S6-ITS_Trtuntrt_nowf_genus" sheetId="10" r:id="rId6"/>
    <sheet name="S7-Rps10_Trtuntrt_nowf_genus" sheetId="13" r:id="rId7"/>
    <sheet name="S8-Rps10_Trtuntrt_nowf_species" sheetId="17" r:id="rId8"/>
    <sheet name="S9-16S_YrSinceTrt_nowf_phylum" sheetId="5" r:id="rId9"/>
    <sheet name="S10-16S_YrSinceTrt_nowf_genus" sheetId="6" r:id="rId10"/>
    <sheet name="S11-ITS_YrSinceTrt_nowf_phylum" sheetId="11" r:id="rId11"/>
    <sheet name="S12-ITS_YrSinceTrt_nowf_genus" sheetId="12" r:id="rId12"/>
    <sheet name="S13-Rps10_YrSinceTrt_nowf_genus" sheetId="18" r:id="rId13"/>
    <sheet name="S14-Rps10_YrSinceTrt_nowf_spec" sheetId="19" r:id="rId14"/>
    <sheet name="S15-16S_Fire_mod_wf_phylum" sheetId="7" r:id="rId15"/>
    <sheet name="S16-16S_Fire_mod_wf_genus" sheetId="8" r:id="rId16"/>
    <sheet name="S17-ITS_Fire_mod_wf_phylum" sheetId="14" r:id="rId17"/>
    <sheet name="S18-ITS_Fire_mod_wf_genus" sheetId="15" r:id="rId18"/>
    <sheet name="S19-Rps10_Fire_mod_wf_genus" sheetId="20" r:id="rId19"/>
    <sheet name="S20-Rps10_Fire_mod_wf_species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1" l="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24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" i="21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26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" i="15"/>
  <c r="A8" i="14"/>
  <c r="A9" i="14"/>
  <c r="A10" i="14"/>
  <c r="A11" i="14"/>
  <c r="A12" i="14"/>
  <c r="A7" i="14"/>
  <c r="A3" i="14"/>
  <c r="A4" i="14"/>
  <c r="A5" i="14"/>
  <c r="A6" i="14"/>
  <c r="A2" i="14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27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" i="8"/>
  <c r="A12" i="7"/>
  <c r="A13" i="7"/>
  <c r="A14" i="7"/>
  <c r="A15" i="7"/>
  <c r="A16" i="7"/>
  <c r="A17" i="7"/>
  <c r="A18" i="7"/>
  <c r="A19" i="7"/>
  <c r="A11" i="7"/>
  <c r="A3" i="7"/>
  <c r="A4" i="7"/>
  <c r="A5" i="7"/>
  <c r="A6" i="7"/>
  <c r="A7" i="7"/>
  <c r="A8" i="7"/>
  <c r="A9" i="7"/>
  <c r="A10" i="7"/>
  <c r="A2" i="7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" i="19"/>
  <c r="A3" i="18"/>
  <c r="A4" i="18"/>
  <c r="A5" i="18"/>
  <c r="A6" i="18"/>
  <c r="A7" i="18"/>
  <c r="A8" i="18"/>
  <c r="A9" i="18"/>
  <c r="A10" i="18"/>
  <c r="A11" i="18"/>
  <c r="A12" i="18"/>
  <c r="A2" i="18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" i="12"/>
  <c r="A3" i="11"/>
  <c r="A4" i="11"/>
  <c r="A5" i="11"/>
  <c r="A6" i="11"/>
  <c r="A2" i="1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" i="6"/>
  <c r="A3" i="5"/>
  <c r="A4" i="5"/>
  <c r="A5" i="5"/>
  <c r="A6" i="5"/>
  <c r="A7" i="5"/>
  <c r="A8" i="5"/>
  <c r="A9" i="5"/>
  <c r="A10" i="5"/>
  <c r="A11" i="5"/>
  <c r="A2" i="5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24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" i="17"/>
  <c r="A14" i="13"/>
  <c r="A15" i="13"/>
  <c r="A16" i="13"/>
  <c r="A17" i="13"/>
  <c r="A18" i="13"/>
  <c r="A19" i="13"/>
  <c r="A20" i="13"/>
  <c r="A21" i="13"/>
  <c r="A22" i="13"/>
  <c r="A23" i="13"/>
  <c r="A13" i="13"/>
  <c r="A3" i="13"/>
  <c r="A4" i="13"/>
  <c r="A5" i="13"/>
  <c r="A6" i="13"/>
  <c r="A7" i="13"/>
  <c r="A8" i="13"/>
  <c r="A9" i="13"/>
  <c r="A10" i="13"/>
  <c r="A11" i="13"/>
  <c r="A12" i="13"/>
  <c r="A2" i="13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26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" i="10"/>
  <c r="A8" i="9"/>
  <c r="A9" i="9"/>
  <c r="A10" i="9"/>
  <c r="A11" i="9"/>
  <c r="A7" i="9"/>
  <c r="A3" i="9"/>
  <c r="A4" i="9"/>
  <c r="A5" i="9"/>
  <c r="A6" i="9"/>
  <c r="A2" i="9"/>
  <c r="A12" i="3"/>
  <c r="A13" i="3"/>
  <c r="A14" i="3"/>
  <c r="A15" i="3"/>
  <c r="A16" i="3"/>
  <c r="A17" i="3"/>
  <c r="A18" i="3"/>
  <c r="A19" i="3"/>
  <c r="A11" i="3"/>
  <c r="A3" i="3"/>
  <c r="A4" i="3"/>
  <c r="A5" i="3"/>
  <c r="A6" i="3"/>
  <c r="A7" i="3"/>
  <c r="A8" i="3"/>
  <c r="A9" i="3"/>
  <c r="A10" i="3"/>
  <c r="A2" i="3"/>
  <c r="A14" i="20"/>
  <c r="A15" i="20"/>
  <c r="A16" i="20"/>
  <c r="A17" i="20"/>
  <c r="A18" i="20"/>
  <c r="A19" i="20"/>
  <c r="A20" i="20"/>
  <c r="A21" i="20"/>
  <c r="A22" i="20"/>
  <c r="A23" i="20"/>
  <c r="A13" i="20"/>
  <c r="A3" i="20"/>
  <c r="A4" i="20"/>
  <c r="A5" i="20"/>
  <c r="A6" i="20"/>
  <c r="A7" i="20"/>
  <c r="A8" i="20"/>
  <c r="A9" i="20"/>
  <c r="A10" i="20"/>
  <c r="A11" i="20"/>
  <c r="A12" i="20"/>
  <c r="A2" i="20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<sst xmlns="http://schemas.openxmlformats.org/spreadsheetml/2006/main" count="1864" uniqueCount="220">
  <si>
    <t>Factor</t>
  </si>
  <si>
    <t>Data set</t>
  </si>
  <si>
    <t>16S</t>
  </si>
  <si>
    <t>No wildfire sites</t>
  </si>
  <si>
    <t>Chetco Bar Fire</t>
  </si>
  <si>
    <t xml:space="preserve">Wilfire sites </t>
  </si>
  <si>
    <t>ITS</t>
  </si>
  <si>
    <t>Phylum</t>
  </si>
  <si>
    <t>Proteobacteria</t>
  </si>
  <si>
    <t>Verrucomicrobiota</t>
  </si>
  <si>
    <t>Acidobacteriota</t>
  </si>
  <si>
    <t>Actinobacteriota</t>
  </si>
  <si>
    <t>Planctomycetota</t>
  </si>
  <si>
    <t>Bacteroidota</t>
  </si>
  <si>
    <t>Myxococcota</t>
  </si>
  <si>
    <t>Firmicutes</t>
  </si>
  <si>
    <t>Chloroflexi</t>
  </si>
  <si>
    <t>Gemmatimonadota</t>
  </si>
  <si>
    <t>Genus</t>
  </si>
  <si>
    <t>Candidatus Udaeobacter</t>
  </si>
  <si>
    <t>Pseudolabrys</t>
  </si>
  <si>
    <t>Methylocapsa</t>
  </si>
  <si>
    <t>Bradyrhizobium</t>
  </si>
  <si>
    <t>Acidothermus</t>
  </si>
  <si>
    <t>Candidatus Xiphinematobacter</t>
  </si>
  <si>
    <t>Acidibacter</t>
  </si>
  <si>
    <t>Bryobacter</t>
  </si>
  <si>
    <t>Roseiarcus</t>
  </si>
  <si>
    <t>Granulicella</t>
  </si>
  <si>
    <t>Mycobacterium</t>
  </si>
  <si>
    <t>Puia</t>
  </si>
  <si>
    <t>Acidipila-Silvibacterium</t>
  </si>
  <si>
    <t>Conexibacter</t>
  </si>
  <si>
    <t>ADurb.Bin063-1</t>
  </si>
  <si>
    <t>Burkholderia-Caballeronia-Paraburkholderia</t>
  </si>
  <si>
    <t>Candidatus Solibacter</t>
  </si>
  <si>
    <t>Haliangium</t>
  </si>
  <si>
    <t>Aquisphaera</t>
  </si>
  <si>
    <t>Alicyclobacillus</t>
  </si>
  <si>
    <t>Candidatus Koribacter</t>
  </si>
  <si>
    <t>Reyranella</t>
  </si>
  <si>
    <t>Rhodoplanes</t>
  </si>
  <si>
    <t>MND1</t>
  </si>
  <si>
    <t>Mucilaginibacter</t>
  </si>
  <si>
    <t>Chthoniobacter</t>
  </si>
  <si>
    <t>Paenibacillus</t>
  </si>
  <si>
    <t>Anaeromyxobacter</t>
  </si>
  <si>
    <t>Phenylobacterium</t>
  </si>
  <si>
    <t>IS-44</t>
  </si>
  <si>
    <t>Pseudomonas</t>
  </si>
  <si>
    <t>Alkanibacter</t>
  </si>
  <si>
    <t>Edaphobaculum</t>
  </si>
  <si>
    <t>Sphingomonas</t>
  </si>
  <si>
    <t>Massilia</t>
  </si>
  <si>
    <t>Opitutus</t>
  </si>
  <si>
    <t>Tumebacillus</t>
  </si>
  <si>
    <t>Crossiella</t>
  </si>
  <si>
    <t>Caenimonas</t>
  </si>
  <si>
    <t>Amycolatopsis</t>
  </si>
  <si>
    <t>Alkanindiges</t>
  </si>
  <si>
    <t>Domibacillus</t>
  </si>
  <si>
    <t>Ramlibacter</t>
  </si>
  <si>
    <t>Actinoallomurus</t>
  </si>
  <si>
    <t>Noviherbaspirillum</t>
  </si>
  <si>
    <t>Pseudarthrobacter</t>
  </si>
  <si>
    <t>1 to 2</t>
  </si>
  <si>
    <t>3 to 4</t>
  </si>
  <si>
    <t>5 to 8</t>
  </si>
  <si>
    <t>10 to 12</t>
  </si>
  <si>
    <t>Wildfire</t>
  </si>
  <si>
    <t>Basidiomycota</t>
  </si>
  <si>
    <t>Ascomycota</t>
  </si>
  <si>
    <t>Mortierellomycota</t>
  </si>
  <si>
    <t>Mucoromycota</t>
  </si>
  <si>
    <t>Chytridiomycota</t>
  </si>
  <si>
    <t>Monoblepharomycota</t>
  </si>
  <si>
    <t>Russula</t>
  </si>
  <si>
    <t>Mortierella</t>
  </si>
  <si>
    <t>Podila</t>
  </si>
  <si>
    <t>Saitozyma</t>
  </si>
  <si>
    <t>Rhizopogon</t>
  </si>
  <si>
    <t>Inocybe</t>
  </si>
  <si>
    <t>Amanita</t>
  </si>
  <si>
    <t>Umbelopsis</t>
  </si>
  <si>
    <t>Geminibasidium</t>
  </si>
  <si>
    <t>Sebacina</t>
  </si>
  <si>
    <t>Saccharomycetales_gen_Incertae_sedis</t>
  </si>
  <si>
    <t>Lactarius</t>
  </si>
  <si>
    <t>Melanogaster</t>
  </si>
  <si>
    <t>Byssocorticium</t>
  </si>
  <si>
    <t>Solicoccozyma</t>
  </si>
  <si>
    <t>Cortinarius</t>
  </si>
  <si>
    <t>Oidiodendron</t>
  </si>
  <si>
    <t>Tomentella</t>
  </si>
  <si>
    <t>Clavulina</t>
  </si>
  <si>
    <t>Hygrophorus</t>
  </si>
  <si>
    <t>Alpova</t>
  </si>
  <si>
    <t>Sagenomella</t>
  </si>
  <si>
    <t>Xerocomellus</t>
  </si>
  <si>
    <t>Tuber</t>
  </si>
  <si>
    <t>Cladophialophora</t>
  </si>
  <si>
    <t>GS25_ord_Incertae_sedis_gen_Incertae_sedis</t>
  </si>
  <si>
    <t>Exophiala</t>
  </si>
  <si>
    <t>Piloderma</t>
  </si>
  <si>
    <t>Capronia</t>
  </si>
  <si>
    <t>Thelephora</t>
  </si>
  <si>
    <t>Wilcoxina</t>
  </si>
  <si>
    <t>Chaetothyriales_gen_Incertae_sedis</t>
  </si>
  <si>
    <t>Cladosporium</t>
  </si>
  <si>
    <t>Leucoscypha</t>
  </si>
  <si>
    <t>Pseudotomentella</t>
  </si>
  <si>
    <t>Pyrenochaeta</t>
  </si>
  <si>
    <t>Mycena</t>
  </si>
  <si>
    <t>Geoglossum</t>
  </si>
  <si>
    <t>Laccaria</t>
  </si>
  <si>
    <t>Psathyrella</t>
  </si>
  <si>
    <t>Lyophyllum</t>
  </si>
  <si>
    <t>Monoblepharomycota_gen_Incertae_sedis</t>
  </si>
  <si>
    <t>Botryobasidium</t>
  </si>
  <si>
    <t>Aureobasidium</t>
  </si>
  <si>
    <t>Glomerellales_gen_Incertae_sedis</t>
  </si>
  <si>
    <t>Scutellinia</t>
  </si>
  <si>
    <t>Hypochnicium</t>
  </si>
  <si>
    <t>Phaeocollybia</t>
  </si>
  <si>
    <t>Camptobasidium</t>
  </si>
  <si>
    <t>Plicaria</t>
  </si>
  <si>
    <t>Ochrocladosporium</t>
  </si>
  <si>
    <t>Globisporangium</t>
  </si>
  <si>
    <t>Pythium</t>
  </si>
  <si>
    <t>Elongisporangium</t>
  </si>
  <si>
    <t>Phytophthora</t>
  </si>
  <si>
    <t>Achlya</t>
  </si>
  <si>
    <t>Aphanomyces</t>
  </si>
  <si>
    <t>Saprolegnia</t>
  </si>
  <si>
    <t>Species</t>
  </si>
  <si>
    <t>Globisporangium_aquisylvae</t>
  </si>
  <si>
    <t>Pythium_monospermum</t>
  </si>
  <si>
    <t>Achlya_hypogyna</t>
  </si>
  <si>
    <t>Globisporangium_attrantheridium</t>
  </si>
  <si>
    <t>Phytophthora_ramorum</t>
  </si>
  <si>
    <t>Globisporangium_rostratifingens</t>
  </si>
  <si>
    <t>Phytophthora_nemorosa</t>
  </si>
  <si>
    <t>Elongisporangium_anandrum</t>
  </si>
  <si>
    <t>Pythium_junctum</t>
  </si>
  <si>
    <t>Phytophthora_europaea</t>
  </si>
  <si>
    <t>Globisporangium_iwayami</t>
  </si>
  <si>
    <t>Globisporangium_glomeratum</t>
  </si>
  <si>
    <t>Aphanomyces_astaci</t>
  </si>
  <si>
    <t>Globisporangium_rhizoterrae</t>
  </si>
  <si>
    <t>NA</t>
  </si>
  <si>
    <t>Chetco_Bar_Fire</t>
  </si>
  <si>
    <t>Factor Name</t>
  </si>
  <si>
    <t>Barcode</t>
  </si>
  <si>
    <t>rps10</t>
  </si>
  <si>
    <t>Year Since SOD treatment</t>
  </si>
  <si>
    <t>Alpha index</t>
  </si>
  <si>
    <t>Inverse Simpson</t>
  </si>
  <si>
    <t>Untreated vs. SOD treated</t>
  </si>
  <si>
    <t>Year Since SOD treated</t>
  </si>
  <si>
    <r>
      <t>Df</t>
    </r>
    <r>
      <rPr>
        <b/>
        <vertAlign val="superscript"/>
        <sz val="12"/>
        <color theme="1"/>
        <rFont val="Arial"/>
        <family val="2"/>
      </rPr>
      <t>a</t>
    </r>
  </si>
  <si>
    <r>
      <t>Sum Sq</t>
    </r>
    <r>
      <rPr>
        <b/>
        <vertAlign val="superscript"/>
        <sz val="12"/>
        <color theme="1"/>
        <rFont val="Arial"/>
        <family val="2"/>
      </rPr>
      <t>b</t>
    </r>
  </si>
  <si>
    <r>
      <t>Mean Sq</t>
    </r>
    <r>
      <rPr>
        <b/>
        <vertAlign val="superscript"/>
        <sz val="12"/>
        <color theme="1"/>
        <rFont val="Arial"/>
        <family val="2"/>
      </rPr>
      <t>c</t>
    </r>
  </si>
  <si>
    <r>
      <t>Pr (&gt;F)</t>
    </r>
    <r>
      <rPr>
        <b/>
        <vertAlign val="superscript"/>
        <sz val="12"/>
        <color theme="1"/>
        <rFont val="Arial"/>
        <family val="2"/>
      </rPr>
      <t>e</t>
    </r>
  </si>
  <si>
    <r>
      <t>Pr (&gt;F)</t>
    </r>
    <r>
      <rPr>
        <b/>
        <vertAlign val="superscript"/>
        <sz val="12"/>
        <color theme="1"/>
        <rFont val="Arial"/>
        <family val="2"/>
      </rPr>
      <t>d</t>
    </r>
  </si>
  <si>
    <r>
      <t>Sum Sq</t>
    </r>
    <r>
      <rPr>
        <vertAlign val="superscript"/>
        <sz val="12"/>
        <color theme="1"/>
        <rFont val="Arial"/>
        <family val="2"/>
      </rPr>
      <t>b</t>
    </r>
  </si>
  <si>
    <r>
      <t>R</t>
    </r>
    <r>
      <rPr>
        <b/>
        <vertAlign val="superscript"/>
        <sz val="12"/>
        <color theme="1"/>
        <rFont val="Arial"/>
        <family val="2"/>
      </rPr>
      <t>2c</t>
    </r>
  </si>
  <si>
    <t>F-statistic</t>
  </si>
  <si>
    <r>
      <t>F</t>
    </r>
    <r>
      <rPr>
        <b/>
        <vertAlign val="superscript"/>
        <sz val="12"/>
        <color theme="1"/>
        <rFont val="Arial"/>
        <family val="2"/>
      </rPr>
      <t>d</t>
    </r>
  </si>
  <si>
    <r>
      <t>FDR adj p</t>
    </r>
    <r>
      <rPr>
        <b/>
        <vertAlign val="superscript"/>
        <sz val="12"/>
        <color theme="1"/>
        <rFont val="Arial"/>
        <family val="2"/>
      </rPr>
      <t>f</t>
    </r>
  </si>
  <si>
    <r>
      <t>Bonferroni adj p</t>
    </r>
    <r>
      <rPr>
        <b/>
        <vertAlign val="superscript"/>
        <sz val="12"/>
        <color theme="1"/>
        <rFont val="Arial"/>
        <family val="2"/>
      </rPr>
      <t>g</t>
    </r>
  </si>
  <si>
    <r>
      <t>P Value Beta Dispersion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</si>
  <si>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Degrees of freedom; </t>
    </r>
    <r>
      <rPr>
        <vertAlign val="superscript"/>
        <sz val="12"/>
        <color theme="1"/>
        <rFont val="Arial"/>
        <family val="2"/>
      </rPr>
      <t>b</t>
    </r>
    <r>
      <rPr>
        <sz val="12"/>
        <color theme="1"/>
        <rFont val="Arial"/>
        <family val="2"/>
      </rPr>
      <t xml:space="preserve">Sum of squares; </t>
    </r>
    <r>
      <rPr>
        <vertAlign val="superscript"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Mean Squares; </t>
    </r>
    <r>
      <rPr>
        <vertAlign val="superscript"/>
        <sz val="12"/>
        <color theme="1"/>
        <rFont val="Arial"/>
        <family val="2"/>
      </rPr>
      <t>d</t>
    </r>
    <r>
      <rPr>
        <sz val="12"/>
        <color theme="1"/>
        <rFont val="Arial"/>
        <family val="2"/>
      </rPr>
      <t>P-value of F-statistic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</si>
  <si>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Degrees of freedom; </t>
    </r>
    <r>
      <rPr>
        <vertAlign val="superscript"/>
        <sz val="12"/>
        <color theme="1"/>
        <rFont val="Arial"/>
        <family val="2"/>
      </rPr>
      <t>b</t>
    </r>
    <r>
      <rPr>
        <sz val="12"/>
        <color theme="1"/>
        <rFont val="Arial"/>
        <family val="2"/>
      </rPr>
      <t xml:space="preserve">Sum of squares; </t>
    </r>
    <r>
      <rPr>
        <vertAlign val="superscript"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Proportion of variance explained by factor; </t>
    </r>
    <r>
      <rPr>
        <vertAlign val="superscript"/>
        <sz val="12"/>
        <color theme="1"/>
        <rFont val="Arial"/>
        <family val="2"/>
      </rPr>
      <t>d</t>
    </r>
    <r>
      <rPr>
        <sz val="12"/>
        <color theme="1"/>
        <rFont val="Arial"/>
        <family val="2"/>
      </rPr>
      <t xml:space="preserve">Test statistic; </t>
    </r>
    <r>
      <rPr>
        <vertAlign val="superscript"/>
        <sz val="12"/>
        <color theme="1"/>
        <rFont val="Arial"/>
        <family val="2"/>
      </rPr>
      <t>e</t>
    </r>
    <r>
      <rPr>
        <sz val="12"/>
        <color theme="1"/>
        <rFont val="Arial"/>
        <family val="2"/>
      </rPr>
      <t xml:space="preserve">P-value of F-statistic;  </t>
    </r>
    <r>
      <rPr>
        <vertAlign val="superscript"/>
        <sz val="12"/>
        <color theme="1"/>
        <rFont val="Arial"/>
        <family val="2"/>
      </rPr>
      <t>f</t>
    </r>
    <r>
      <rPr>
        <sz val="12"/>
        <color theme="1"/>
        <rFont val="Arial"/>
        <family val="2"/>
      </rPr>
      <t xml:space="preserve">P-value adjusted for multiple testing using False Discovery Rate (FDR) correction; </t>
    </r>
    <r>
      <rPr>
        <vertAlign val="superscript"/>
        <sz val="12"/>
        <color theme="1"/>
        <rFont val="Arial"/>
        <family val="2"/>
      </rPr>
      <t>g</t>
    </r>
    <r>
      <rPr>
        <sz val="12"/>
        <color theme="1"/>
        <rFont val="Arial"/>
        <family val="2"/>
      </rPr>
      <t xml:space="preserve">P-value adjusted using the Bonferroni correction; </t>
    </r>
    <r>
      <rPr>
        <vertAlign val="superscript"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>P-value from a beta dispersion test</t>
    </r>
  </si>
  <si>
    <t>Mean_Relative_Abundance</t>
  </si>
  <si>
    <t>Standard_Deviation</t>
  </si>
  <si>
    <t>Standard_Error</t>
  </si>
  <si>
    <t>Sample_Size</t>
  </si>
  <si>
    <t>Prevalence_Percent</t>
  </si>
  <si>
    <t>Other</t>
  </si>
  <si>
    <t>Phytopythium</t>
  </si>
  <si>
    <t>Halophytophthora</t>
  </si>
  <si>
    <t>Lagenidium</t>
  </si>
  <si>
    <t>Thraustotheca</t>
  </si>
  <si>
    <t>Globisporangium_terrestre</t>
  </si>
  <si>
    <t>Phytopythium_helicoides</t>
  </si>
  <si>
    <t>Pythium_contiguanum</t>
  </si>
  <si>
    <t>Saprolegnia_parasitica</t>
  </si>
  <si>
    <t>Halophytophthora_kandeliae</t>
  </si>
  <si>
    <t>Lagenidium_sp.sinuatum</t>
  </si>
  <si>
    <t>Globisporangium_nodosum</t>
  </si>
  <si>
    <t>Globisporangium_lucens</t>
  </si>
  <si>
    <t>Phytopythium_iriomotense</t>
  </si>
  <si>
    <t>Aphanomyces_stellatus</t>
  </si>
  <si>
    <t>Globisporangium_acanthophoron</t>
  </si>
  <si>
    <t>Pythium_brachiatum</t>
  </si>
  <si>
    <t>Pythium_jasmonium</t>
  </si>
  <si>
    <t>Phytopythium_aichiense</t>
  </si>
  <si>
    <t>Thraustotheca_clavata</t>
  </si>
  <si>
    <t>Pythium_dissotocum</t>
  </si>
  <si>
    <t>Saprolegnia_ferax</t>
  </si>
  <si>
    <t>Globisporangium_selbyi</t>
  </si>
  <si>
    <t>Pythium_insidiosum</t>
  </si>
  <si>
    <t>Globisporangium_heterothallicum</t>
  </si>
  <si>
    <t>Albugo</t>
  </si>
  <si>
    <t>Albugo_laibachii</t>
  </si>
  <si>
    <t>Phytophthora_fragariae</t>
  </si>
  <si>
    <t>Pythium_dissimile</t>
  </si>
  <si>
    <t>Globisporangium_mamillatum</t>
  </si>
  <si>
    <t>Pythium_apleroticum</t>
  </si>
  <si>
    <t>Hyaloperonospora</t>
  </si>
  <si>
    <t>Globisporangium_violae</t>
  </si>
  <si>
    <t>Phytopythium_citrinum</t>
  </si>
  <si>
    <t>Hyaloperonospora_arabidopsidis</t>
  </si>
  <si>
    <t>Year_Since_SOD_treatment</t>
  </si>
  <si>
    <t>Untreated_vs_SOD_treated</t>
  </si>
  <si>
    <r>
      <t>Mean_Relative_Abundance</t>
    </r>
    <r>
      <rPr>
        <b/>
        <vertAlign val="superscript"/>
        <sz val="12"/>
        <color theme="1"/>
        <rFont val="Arial"/>
        <family val="2"/>
      </rPr>
      <t>a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</si>
  <si>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Only phyla with mean relative abundance ≥ 0.01 are shown; remaining taxa were aggregated to 'Other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</si>
  <si>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Only genera with mean relative abundance ≥ 0.01 are shown; remaining taxa were aggregated to 'Other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</si>
  <si>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Only species with mean relative abundance ≥ 0.01 are shown; remaining taxa were aggregated to 'Other</t>
    </r>
  </si>
  <si>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Only genus with mean relative abundance ≥ 0.01 are shown; remaining taxa were aggregated to 'Other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</si>
</sst>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70" formatCode="0.0E+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8"/>
      <name val="Aptos Narrow"/>
      <family val="2"/>
      <scheme val="minor"/>
    </font>
    <font>
      <b/>
      <vertAlign val="superscript"/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3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2" fillId="0" borderId="0" xfId="0" applyFont="1" applyFill="1"/>
    <xf numFmtId="2" fontId="2" fillId="0" borderId="1" xfId="0" applyNumberFormat="1" applyFont="1" applyFill="1" applyBorder="1" applyAlignment="1">
      <alignment horizontal="left" vertical="top"/>
    </xf>
    <xf numFmtId="0" fontId="4" fillId="0" borderId="3" xfId="0" applyFont="1" applyFill="1" applyBorder="1" applyAlignment="1">
      <alignment vertical="top"/>
    </xf>
    <xf numFmtId="2" fontId="2" fillId="0" borderId="3" xfId="0" applyNumberFormat="1" applyFont="1" applyFill="1" applyBorder="1" applyAlignment="1">
      <alignment horizontal="left" vertical="top"/>
    </xf>
    <xf numFmtId="1" fontId="2" fillId="0" borderId="3" xfId="0" applyNumberFormat="1" applyFont="1" applyFill="1" applyBorder="1" applyAlignment="1">
      <alignment horizontal="left" vertical="top"/>
    </xf>
    <xf numFmtId="164" fontId="2" fillId="0" borderId="3" xfId="0" applyNumberFormat="1" applyFont="1" applyFill="1" applyBorder="1" applyAlignment="1">
      <alignment horizontal="left" vertical="top"/>
    </xf>
    <xf numFmtId="164" fontId="2" fillId="0" borderId="3" xfId="0" applyNumberFormat="1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left" vertical="top"/>
    </xf>
    <xf numFmtId="165" fontId="2" fillId="0" borderId="1" xfId="0" applyNumberFormat="1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2" fontId="1" fillId="0" borderId="2" xfId="0" applyNumberFormat="1" applyFont="1" applyFill="1" applyBorder="1" applyAlignment="1">
      <alignment horizontal="left" vertical="top"/>
    </xf>
    <xf numFmtId="170" fontId="2" fillId="0" borderId="1" xfId="0" quotePrefix="1" applyNumberFormat="1" applyFont="1" applyFill="1" applyBorder="1" applyAlignment="1">
      <alignment horizontal="left" vertical="top"/>
    </xf>
    <xf numFmtId="170" fontId="2" fillId="0" borderId="1" xfId="0" quotePrefix="1" applyNumberFormat="1" applyFont="1" applyFill="1" applyBorder="1" applyAlignment="1">
      <alignment horizontal="left"/>
    </xf>
    <xf numFmtId="0" fontId="0" fillId="0" borderId="0" xfId="0" quotePrefix="1"/>
    <xf numFmtId="2" fontId="3" fillId="0" borderId="2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1E66-0B35-8F4D-ADB9-64A2EFC0E393}">
  <dimension ref="A1:I12"/>
  <sheetViews>
    <sheetView workbookViewId="0">
      <selection activeCell="A10" sqref="A10"/>
    </sheetView>
  </sheetViews>
  <sheetFormatPr baseColWidth="10" defaultRowHeight="16" x14ac:dyDescent="0.2"/>
  <cols>
    <col min="1" max="1" width="25.33203125" style="15" bestFit="1" customWidth="1"/>
    <col min="2" max="2" width="8.83203125" style="15" bestFit="1" customWidth="1"/>
    <col min="3" max="3" width="15.5" style="15" bestFit="1" customWidth="1"/>
    <col min="4" max="4" width="16.5" style="15" bestFit="1" customWidth="1"/>
    <col min="5" max="5" width="3.83203125" style="15" bestFit="1" customWidth="1"/>
    <col min="6" max="6" width="9" style="15" bestFit="1" customWidth="1"/>
    <col min="7" max="7" width="10" style="15" bestFit="1" customWidth="1"/>
    <col min="8" max="8" width="9.6640625" style="15" bestFit="1" customWidth="1"/>
    <col min="9" max="9" width="10.5" style="15" bestFit="1" customWidth="1"/>
    <col min="10" max="10" width="16" style="15" customWidth="1"/>
    <col min="11" max="11" width="12.83203125" style="15" customWidth="1"/>
    <col min="12" max="16384" width="10.83203125" style="15"/>
  </cols>
  <sheetData>
    <row r="1" spans="1:9" ht="19" thickBot="1" x14ac:dyDescent="0.25">
      <c r="A1" s="13" t="s">
        <v>151</v>
      </c>
      <c r="B1" s="13" t="s">
        <v>152</v>
      </c>
      <c r="C1" s="13" t="s">
        <v>1</v>
      </c>
      <c r="D1" s="13" t="s">
        <v>155</v>
      </c>
      <c r="E1" s="13" t="s">
        <v>159</v>
      </c>
      <c r="F1" s="13" t="s">
        <v>160</v>
      </c>
      <c r="G1" s="13" t="s">
        <v>161</v>
      </c>
      <c r="H1" s="13" t="s">
        <v>166</v>
      </c>
      <c r="I1" s="13" t="s">
        <v>163</v>
      </c>
    </row>
    <row r="2" spans="1:9" x14ac:dyDescent="0.2">
      <c r="A2" s="16" t="s">
        <v>157</v>
      </c>
      <c r="B2" s="10" t="s">
        <v>2</v>
      </c>
      <c r="C2" s="16" t="s">
        <v>3</v>
      </c>
      <c r="D2" s="25" t="s">
        <v>156</v>
      </c>
      <c r="E2" s="30">
        <v>1</v>
      </c>
      <c r="F2" s="30">
        <v>10348</v>
      </c>
      <c r="G2" s="30">
        <v>10348</v>
      </c>
      <c r="H2" s="30">
        <v>10.62</v>
      </c>
      <c r="I2" s="30">
        <v>1.6299999999999999E-3</v>
      </c>
    </row>
    <row r="3" spans="1:9" x14ac:dyDescent="0.2">
      <c r="A3" s="16" t="s">
        <v>154</v>
      </c>
      <c r="B3" s="10" t="s">
        <v>2</v>
      </c>
      <c r="C3" s="16" t="s">
        <v>3</v>
      </c>
      <c r="D3" s="25" t="s">
        <v>156</v>
      </c>
      <c r="E3" s="30">
        <v>4</v>
      </c>
      <c r="F3" s="30">
        <v>20071</v>
      </c>
      <c r="G3" s="30">
        <v>5018</v>
      </c>
      <c r="H3" s="30">
        <v>5.65</v>
      </c>
      <c r="I3" s="30">
        <v>4.73E-4</v>
      </c>
    </row>
    <row r="4" spans="1:9" x14ac:dyDescent="0.2">
      <c r="A4" s="16" t="s">
        <v>4</v>
      </c>
      <c r="B4" s="10" t="s">
        <v>2</v>
      </c>
      <c r="C4" s="16" t="s">
        <v>5</v>
      </c>
      <c r="D4" s="25" t="s">
        <v>156</v>
      </c>
      <c r="E4" s="30">
        <v>2</v>
      </c>
      <c r="F4" s="30">
        <v>10633</v>
      </c>
      <c r="G4" s="30">
        <v>5317</v>
      </c>
      <c r="H4" s="30">
        <v>5.3280000000000003</v>
      </c>
      <c r="I4" s="30">
        <v>6.4099999999999999E-3</v>
      </c>
    </row>
    <row r="5" spans="1:9" x14ac:dyDescent="0.2">
      <c r="A5" s="16" t="s">
        <v>157</v>
      </c>
      <c r="B5" s="11" t="s">
        <v>6</v>
      </c>
      <c r="C5" s="16" t="s">
        <v>3</v>
      </c>
      <c r="D5" s="25" t="s">
        <v>156</v>
      </c>
      <c r="E5" s="22">
        <v>1</v>
      </c>
      <c r="F5" s="30">
        <v>60</v>
      </c>
      <c r="G5" s="30">
        <v>60.32</v>
      </c>
      <c r="H5" s="30">
        <v>0.54200000000000004</v>
      </c>
      <c r="I5" s="30">
        <v>0.46400000000000002</v>
      </c>
    </row>
    <row r="6" spans="1:9" x14ac:dyDescent="0.2">
      <c r="A6" s="16" t="s">
        <v>154</v>
      </c>
      <c r="B6" s="11" t="s">
        <v>6</v>
      </c>
      <c r="C6" s="16" t="s">
        <v>3</v>
      </c>
      <c r="D6" s="25" t="s">
        <v>156</v>
      </c>
      <c r="E6" s="30">
        <v>4</v>
      </c>
      <c r="F6" s="30">
        <v>237</v>
      </c>
      <c r="G6" s="30">
        <v>59.35</v>
      </c>
      <c r="H6" s="30">
        <v>0.52300000000000002</v>
      </c>
      <c r="I6" s="30">
        <v>0.71899999999999997</v>
      </c>
    </row>
    <row r="7" spans="1:9" x14ac:dyDescent="0.2">
      <c r="A7" s="16" t="s">
        <v>4</v>
      </c>
      <c r="B7" s="11" t="s">
        <v>6</v>
      </c>
      <c r="C7" s="16" t="s">
        <v>5</v>
      </c>
      <c r="D7" s="25" t="s">
        <v>156</v>
      </c>
      <c r="E7" s="22">
        <v>2</v>
      </c>
      <c r="F7" s="25">
        <v>126</v>
      </c>
      <c r="G7" s="25">
        <v>62.87</v>
      </c>
      <c r="H7" s="16">
        <v>0.5</v>
      </c>
      <c r="I7" s="31">
        <v>0.60799999999999998</v>
      </c>
    </row>
    <row r="8" spans="1:9" x14ac:dyDescent="0.2">
      <c r="A8" s="16" t="s">
        <v>157</v>
      </c>
      <c r="B8" s="11" t="s">
        <v>153</v>
      </c>
      <c r="C8" s="16" t="s">
        <v>3</v>
      </c>
      <c r="D8" s="25" t="s">
        <v>156</v>
      </c>
      <c r="E8" s="30">
        <v>1</v>
      </c>
      <c r="F8" s="30">
        <v>1.95</v>
      </c>
      <c r="G8" s="30">
        <v>1.948</v>
      </c>
      <c r="H8" s="30">
        <v>0.67100000000000004</v>
      </c>
      <c r="I8" s="30">
        <v>0.41499999999999998</v>
      </c>
    </row>
    <row r="9" spans="1:9" x14ac:dyDescent="0.2">
      <c r="A9" s="16" t="s">
        <v>154</v>
      </c>
      <c r="B9" s="11" t="s">
        <v>153</v>
      </c>
      <c r="C9" s="16" t="s">
        <v>3</v>
      </c>
      <c r="D9" s="25" t="s">
        <v>156</v>
      </c>
      <c r="E9" s="30">
        <v>4</v>
      </c>
      <c r="F9" s="30">
        <v>13.27</v>
      </c>
      <c r="G9" s="30">
        <v>3.3170000000000002</v>
      </c>
      <c r="H9" s="30">
        <v>1.159</v>
      </c>
      <c r="I9" s="30">
        <v>0.33700000000000002</v>
      </c>
    </row>
    <row r="10" spans="1:9" x14ac:dyDescent="0.2">
      <c r="A10" s="16" t="s">
        <v>4</v>
      </c>
      <c r="B10" s="11" t="s">
        <v>153</v>
      </c>
      <c r="C10" s="16" t="s">
        <v>5</v>
      </c>
      <c r="D10" s="25" t="s">
        <v>156</v>
      </c>
      <c r="E10" s="22">
        <v>2</v>
      </c>
      <c r="F10" s="30">
        <v>14.53</v>
      </c>
      <c r="G10" s="25">
        <v>7.2640000000000002</v>
      </c>
      <c r="H10" s="30">
        <v>2.7610000000000001</v>
      </c>
      <c r="I10" s="30">
        <v>6.9000000000000006E-2</v>
      </c>
    </row>
    <row r="12" spans="1:9" ht="18" x14ac:dyDescent="0.2">
      <c r="A12" s="29" t="s">
        <v>171</v>
      </c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5B63-4AEE-1E44-947F-89A1FADC8732}">
  <dimension ref="A1:K12"/>
  <sheetViews>
    <sheetView zoomScaleNormal="100" workbookViewId="0">
      <selection activeCell="D22" sqref="D22"/>
    </sheetView>
  </sheetViews>
  <sheetFormatPr baseColWidth="10" defaultColWidth="21.83203125" defaultRowHeight="16" x14ac:dyDescent="0.2"/>
  <cols>
    <col min="1" max="1" width="25.33203125" style="15" bestFit="1" customWidth="1"/>
    <col min="2" max="2" width="9.33203125" style="15" bestFit="1" customWidth="1"/>
    <col min="3" max="3" width="15.5" style="15" bestFit="1" customWidth="1"/>
    <col min="4" max="4" width="4" style="15" bestFit="1" customWidth="1"/>
    <col min="5" max="5" width="9.1640625" style="15" bestFit="1" customWidth="1"/>
    <col min="6" max="7" width="6.33203125" style="15" bestFit="1" customWidth="1"/>
    <col min="8" max="8" width="8.1640625" style="15" bestFit="1" customWidth="1"/>
    <col min="9" max="9" width="10.83203125" style="15" bestFit="1" customWidth="1"/>
    <col min="10" max="10" width="17.33203125" style="15" bestFit="1" customWidth="1"/>
    <col min="11" max="11" width="25.33203125" style="15" bestFit="1" customWidth="1"/>
    <col min="12" max="16384" width="21.83203125" style="15"/>
  </cols>
  <sheetData>
    <row r="1" spans="1:11" ht="20" thickBot="1" x14ac:dyDescent="0.25">
      <c r="A1" s="13" t="s">
        <v>0</v>
      </c>
      <c r="B1" s="13" t="s">
        <v>152</v>
      </c>
      <c r="C1" s="13" t="s">
        <v>1</v>
      </c>
      <c r="D1" s="13" t="s">
        <v>159</v>
      </c>
      <c r="E1" s="13" t="s">
        <v>164</v>
      </c>
      <c r="F1" s="13" t="s">
        <v>165</v>
      </c>
      <c r="G1" s="13" t="s">
        <v>167</v>
      </c>
      <c r="H1" s="13" t="s">
        <v>162</v>
      </c>
      <c r="I1" s="13" t="s">
        <v>168</v>
      </c>
      <c r="J1" s="13" t="s">
        <v>169</v>
      </c>
      <c r="K1" s="14" t="s">
        <v>170</v>
      </c>
    </row>
    <row r="2" spans="1:11" x14ac:dyDescent="0.2">
      <c r="A2" s="16" t="s">
        <v>157</v>
      </c>
      <c r="B2" s="17" t="s">
        <v>2</v>
      </c>
      <c r="C2" s="18" t="s">
        <v>3</v>
      </c>
      <c r="D2" s="19">
        <v>1</v>
      </c>
      <c r="E2" s="18">
        <v>0.3696257</v>
      </c>
      <c r="F2" s="20">
        <v>1.8514530000000001E-2</v>
      </c>
      <c r="G2" s="20">
        <v>1.5691850000000001</v>
      </c>
      <c r="H2" s="20">
        <v>2.1899999999999999E-2</v>
      </c>
      <c r="I2" s="20">
        <v>2.1899999999999999E-2</v>
      </c>
      <c r="J2" s="20">
        <v>4.3799999999999999E-2</v>
      </c>
      <c r="K2" s="21">
        <v>0.02</v>
      </c>
    </row>
    <row r="3" spans="1:11" x14ac:dyDescent="0.2">
      <c r="A3" s="16" t="s">
        <v>158</v>
      </c>
      <c r="B3" s="17" t="s">
        <v>2</v>
      </c>
      <c r="C3" s="16" t="s">
        <v>3</v>
      </c>
      <c r="D3" s="22">
        <v>3</v>
      </c>
      <c r="E3" s="16">
        <v>0.98580230000000002</v>
      </c>
      <c r="F3" s="23">
        <v>4.9378770000000002E-2</v>
      </c>
      <c r="G3" s="23">
        <v>1.3950199999999999</v>
      </c>
      <c r="H3" s="23">
        <v>1.1900000000000001E-2</v>
      </c>
      <c r="I3" s="23">
        <v>2.1899999999999999E-2</v>
      </c>
      <c r="J3" s="23">
        <v>2.3800000000000002E-2</v>
      </c>
      <c r="K3" s="24">
        <v>0.19900000000000001</v>
      </c>
    </row>
    <row r="4" spans="1:11" x14ac:dyDescent="0.2">
      <c r="A4" s="16" t="s">
        <v>4</v>
      </c>
      <c r="B4" s="17" t="s">
        <v>2</v>
      </c>
      <c r="C4" s="16" t="s">
        <v>5</v>
      </c>
      <c r="D4" s="25">
        <v>2</v>
      </c>
      <c r="E4" s="16">
        <v>1.440769</v>
      </c>
      <c r="F4" s="23">
        <v>5.7830970000000002E-2</v>
      </c>
      <c r="G4" s="23">
        <v>2.9155820000000001</v>
      </c>
      <c r="H4" s="36">
        <v>1E-4</v>
      </c>
      <c r="I4" s="36">
        <v>1E-4</v>
      </c>
      <c r="J4" s="36">
        <v>1E-4</v>
      </c>
      <c r="K4" s="23">
        <v>1.4999999999999999E-2</v>
      </c>
    </row>
    <row r="5" spans="1:11" x14ac:dyDescent="0.2">
      <c r="A5" s="16" t="s">
        <v>157</v>
      </c>
      <c r="B5" s="17" t="s">
        <v>6</v>
      </c>
      <c r="C5" s="16" t="s">
        <v>3</v>
      </c>
      <c r="D5" s="22">
        <v>1</v>
      </c>
      <c r="E5" s="16">
        <v>0.50723379999999996</v>
      </c>
      <c r="F5" s="23">
        <v>1.561102E-2</v>
      </c>
      <c r="G5" s="23">
        <v>1.3138259999999999</v>
      </c>
      <c r="H5" s="23">
        <v>1.66E-2</v>
      </c>
      <c r="I5" s="23">
        <v>1.66E-2</v>
      </c>
      <c r="J5" s="23">
        <v>3.32E-2</v>
      </c>
      <c r="K5" s="24">
        <v>0.52900000000000003</v>
      </c>
    </row>
    <row r="6" spans="1:11" x14ac:dyDescent="0.2">
      <c r="A6" s="16" t="s">
        <v>154</v>
      </c>
      <c r="B6" s="17" t="s">
        <v>6</v>
      </c>
      <c r="C6" s="16" t="s">
        <v>3</v>
      </c>
      <c r="D6" s="22">
        <v>3</v>
      </c>
      <c r="E6" s="16">
        <v>1.4849751</v>
      </c>
      <c r="F6" s="23">
        <v>4.570275E-2</v>
      </c>
      <c r="G6" s="23">
        <v>1.282117</v>
      </c>
      <c r="H6" s="23">
        <v>1.1000000000000001E-3</v>
      </c>
      <c r="I6" s="23">
        <v>2.2000000000000001E-3</v>
      </c>
      <c r="J6" s="23">
        <v>2.2000000000000001E-3</v>
      </c>
      <c r="K6" s="24">
        <v>1E-3</v>
      </c>
    </row>
    <row r="7" spans="1:11" x14ac:dyDescent="0.2">
      <c r="A7" s="16" t="s">
        <v>4</v>
      </c>
      <c r="B7" s="17" t="s">
        <v>6</v>
      </c>
      <c r="C7" s="16" t="s">
        <v>5</v>
      </c>
      <c r="D7" s="25">
        <v>2</v>
      </c>
      <c r="E7" s="16">
        <v>1.6785330000000001</v>
      </c>
      <c r="F7" s="23">
        <v>4.3715419999999998E-2</v>
      </c>
      <c r="G7" s="23">
        <v>2.1714060000000002</v>
      </c>
      <c r="H7" s="36">
        <v>1E-4</v>
      </c>
      <c r="I7" s="36">
        <v>1E-4</v>
      </c>
      <c r="J7" s="36">
        <v>1E-4</v>
      </c>
      <c r="K7" s="23">
        <v>7.2999999999999995E-2</v>
      </c>
    </row>
    <row r="8" spans="1:11" x14ac:dyDescent="0.2">
      <c r="A8" s="16" t="s">
        <v>157</v>
      </c>
      <c r="B8" s="17" t="s">
        <v>153</v>
      </c>
      <c r="C8" s="16" t="s">
        <v>3</v>
      </c>
      <c r="D8" s="22">
        <v>1</v>
      </c>
      <c r="E8" s="16">
        <v>0.55351059999999996</v>
      </c>
      <c r="F8" s="23">
        <v>1.621071E-2</v>
      </c>
      <c r="G8" s="23">
        <v>1.1949099999999999</v>
      </c>
      <c r="H8" s="23">
        <v>0.18720000000000001</v>
      </c>
      <c r="I8" s="23">
        <v>0.18720000000000001</v>
      </c>
      <c r="J8" s="23">
        <v>0.37440000000000001</v>
      </c>
      <c r="K8" s="24">
        <v>0.88700000000000001</v>
      </c>
    </row>
    <row r="9" spans="1:11" x14ac:dyDescent="0.2">
      <c r="A9" s="16" t="s">
        <v>154</v>
      </c>
      <c r="B9" s="17" t="s">
        <v>153</v>
      </c>
      <c r="C9" s="16" t="s">
        <v>3</v>
      </c>
      <c r="D9" s="22">
        <v>3</v>
      </c>
      <c r="E9" s="16">
        <v>1.6288023</v>
      </c>
      <c r="F9" s="23">
        <v>4.7702870000000001E-2</v>
      </c>
      <c r="G9" s="23">
        <v>1.172078</v>
      </c>
      <c r="H9" s="23">
        <v>0.1013</v>
      </c>
      <c r="I9" s="23">
        <v>0.18720000000000001</v>
      </c>
      <c r="J9" s="23">
        <v>0.2026</v>
      </c>
      <c r="K9" s="24">
        <v>3.0000000000000001E-3</v>
      </c>
    </row>
    <row r="10" spans="1:11" x14ac:dyDescent="0.2">
      <c r="A10" s="16" t="s">
        <v>4</v>
      </c>
      <c r="B10" s="17" t="s">
        <v>153</v>
      </c>
      <c r="C10" s="16" t="s">
        <v>5</v>
      </c>
      <c r="D10" s="26">
        <v>2</v>
      </c>
      <c r="E10" s="27">
        <v>1.6116189999999999</v>
      </c>
      <c r="F10" s="28">
        <v>3.9790949999999999E-2</v>
      </c>
      <c r="G10" s="28">
        <v>1.740475</v>
      </c>
      <c r="H10" s="37">
        <v>2.9999999999999997E-4</v>
      </c>
      <c r="I10" s="37">
        <v>2.9999999999999997E-4</v>
      </c>
      <c r="J10" s="37">
        <v>2.9999999999999997E-4</v>
      </c>
      <c r="K10" s="28">
        <v>1.7000000000000001E-2</v>
      </c>
    </row>
    <row r="12" spans="1:11" ht="18" x14ac:dyDescent="0.2">
      <c r="A12" s="29" t="s">
        <v>172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A48A-6E5C-C841-B619-B626DDD6F3B4}">
  <dimension ref="A1:L21"/>
  <sheetViews>
    <sheetView zoomScaleNormal="100" workbookViewId="0">
      <selection activeCell="A21" sqref="A21"/>
    </sheetView>
  </sheetViews>
  <sheetFormatPr baseColWidth="10" defaultRowHeight="16" x14ac:dyDescent="0.2"/>
  <cols>
    <col min="1" max="1" width="28" customWidth="1"/>
    <col min="2" max="2" width="18" bestFit="1" customWidth="1"/>
    <col min="3" max="3" width="29.1640625" customWidth="1"/>
    <col min="4" max="4" width="19.5" bestFit="1" customWidth="1"/>
    <col min="5" max="5" width="16" customWidth="1"/>
    <col min="6" max="6" width="13.33203125" bestFit="1" customWidth="1"/>
    <col min="7" max="7" width="20.5" customWidth="1"/>
    <col min="9" max="16384" width="10.83203125" style="1"/>
  </cols>
  <sheetData>
    <row r="1" spans="1:12" ht="19" thickBot="1" x14ac:dyDescent="0.25">
      <c r="A1" s="39" t="s">
        <v>214</v>
      </c>
      <c r="B1" s="6" t="s">
        <v>7</v>
      </c>
      <c r="C1" s="6" t="s">
        <v>215</v>
      </c>
      <c r="D1" s="6" t="s">
        <v>174</v>
      </c>
      <c r="E1" s="6" t="s">
        <v>175</v>
      </c>
      <c r="F1" s="6" t="s">
        <v>176</v>
      </c>
      <c r="G1" s="6" t="s">
        <v>177</v>
      </c>
      <c r="I1"/>
      <c r="J1"/>
      <c r="K1"/>
      <c r="L1"/>
    </row>
    <row r="2" spans="1:12" x14ac:dyDescent="0.2">
      <c r="A2" s="32" t="str">
        <f>"- SOD"</f>
        <v>- SOD</v>
      </c>
      <c r="B2" s="32" t="s">
        <v>8</v>
      </c>
      <c r="C2" s="32">
        <v>0.49086694194494701</v>
      </c>
      <c r="D2" s="32">
        <v>7.5667245410548797E-2</v>
      </c>
      <c r="E2" s="32">
        <v>1.12798069605431E-2</v>
      </c>
      <c r="F2" s="32">
        <v>45</v>
      </c>
      <c r="G2" s="32">
        <v>100</v>
      </c>
      <c r="I2"/>
      <c r="J2"/>
      <c r="K2"/>
      <c r="L2"/>
    </row>
    <row r="3" spans="1:12" x14ac:dyDescent="0.2">
      <c r="A3" s="32" t="str">
        <f t="shared" ref="A3:A10" si="0">"- SOD"</f>
        <v>- SOD</v>
      </c>
      <c r="B3" s="5" t="s">
        <v>9</v>
      </c>
      <c r="C3" s="5">
        <v>0.17570883521507999</v>
      </c>
      <c r="D3" s="5">
        <v>8.3073658332789305E-2</v>
      </c>
      <c r="E3" s="5">
        <v>1.23838898114473E-2</v>
      </c>
      <c r="F3" s="5">
        <v>45</v>
      </c>
      <c r="G3" s="5">
        <v>100</v>
      </c>
      <c r="I3"/>
      <c r="J3"/>
      <c r="K3"/>
      <c r="L3"/>
    </row>
    <row r="4" spans="1:12" x14ac:dyDescent="0.2">
      <c r="A4" s="32" t="str">
        <f t="shared" si="0"/>
        <v>- SOD</v>
      </c>
      <c r="B4" s="5" t="s">
        <v>10</v>
      </c>
      <c r="C4" s="5">
        <v>8.5278193577677006E-2</v>
      </c>
      <c r="D4" s="5">
        <v>4.3478888259101199E-2</v>
      </c>
      <c r="E4" s="5">
        <v>6.4814499822311899E-3</v>
      </c>
      <c r="F4" s="5">
        <v>45</v>
      </c>
      <c r="G4" s="5">
        <v>100</v>
      </c>
      <c r="I4"/>
      <c r="J4"/>
      <c r="K4"/>
      <c r="L4"/>
    </row>
    <row r="5" spans="1:12" x14ac:dyDescent="0.2">
      <c r="A5" s="32" t="str">
        <f t="shared" si="0"/>
        <v>- SOD</v>
      </c>
      <c r="B5" s="5" t="s">
        <v>11</v>
      </c>
      <c r="C5" s="5">
        <v>8.0787125530453599E-2</v>
      </c>
      <c r="D5" s="5">
        <v>4.82048599241853E-2</v>
      </c>
      <c r="E5" s="5">
        <v>7.1859562424222397E-3</v>
      </c>
      <c r="F5" s="5">
        <v>45</v>
      </c>
      <c r="G5" s="5">
        <v>100</v>
      </c>
      <c r="I5"/>
      <c r="J5"/>
      <c r="K5"/>
      <c r="L5"/>
    </row>
    <row r="6" spans="1:12" x14ac:dyDescent="0.2">
      <c r="A6" s="32" t="str">
        <f t="shared" si="0"/>
        <v>- SOD</v>
      </c>
      <c r="B6" s="5" t="s">
        <v>12</v>
      </c>
      <c r="C6" s="5">
        <v>5.3417172104277801E-2</v>
      </c>
      <c r="D6" s="5">
        <v>1.5205168984877801E-2</v>
      </c>
      <c r="E6" s="5">
        <v>2.2666527639705401E-3</v>
      </c>
      <c r="F6" s="5">
        <v>45</v>
      </c>
      <c r="G6" s="5">
        <v>100</v>
      </c>
      <c r="I6"/>
      <c r="J6"/>
      <c r="K6"/>
      <c r="L6"/>
    </row>
    <row r="7" spans="1:12" x14ac:dyDescent="0.2">
      <c r="A7" s="32" t="str">
        <f t="shared" si="0"/>
        <v>- SOD</v>
      </c>
      <c r="B7" s="5" t="s">
        <v>13</v>
      </c>
      <c r="C7" s="5">
        <v>3.4403342334213903E-2</v>
      </c>
      <c r="D7" s="5">
        <v>1.55941573154966E-2</v>
      </c>
      <c r="E7" s="5">
        <v>2.3246397206184099E-3</v>
      </c>
      <c r="F7" s="5">
        <v>45</v>
      </c>
      <c r="G7" s="5">
        <v>100</v>
      </c>
      <c r="I7"/>
      <c r="J7"/>
      <c r="K7"/>
      <c r="L7"/>
    </row>
    <row r="8" spans="1:12" x14ac:dyDescent="0.2">
      <c r="A8" s="32" t="str">
        <f t="shared" si="0"/>
        <v>- SOD</v>
      </c>
      <c r="B8" s="5" t="s">
        <v>14</v>
      </c>
      <c r="C8" s="5">
        <v>2.51257688480645E-2</v>
      </c>
      <c r="D8" s="5">
        <v>1.6096322135146501E-2</v>
      </c>
      <c r="E8" s="5">
        <v>2.3994980321281399E-3</v>
      </c>
      <c r="F8" s="5">
        <v>45</v>
      </c>
      <c r="G8" s="5">
        <v>100</v>
      </c>
      <c r="I8"/>
      <c r="J8"/>
      <c r="K8"/>
      <c r="L8"/>
    </row>
    <row r="9" spans="1:12" x14ac:dyDescent="0.2">
      <c r="A9" s="32" t="str">
        <f t="shared" si="0"/>
        <v>- SOD</v>
      </c>
      <c r="B9" s="5" t="s">
        <v>15</v>
      </c>
      <c r="C9" s="5">
        <v>2.0357928319930399E-2</v>
      </c>
      <c r="D9" s="5">
        <v>2.0171049671047599E-2</v>
      </c>
      <c r="E9" s="5">
        <v>3.00692254946582E-3</v>
      </c>
      <c r="F9" s="5">
        <v>45</v>
      </c>
      <c r="G9" s="5">
        <v>100</v>
      </c>
      <c r="I9"/>
      <c r="J9"/>
      <c r="K9"/>
      <c r="L9"/>
    </row>
    <row r="10" spans="1:12" x14ac:dyDescent="0.2">
      <c r="A10" s="32" t="str">
        <f t="shared" si="0"/>
        <v>- SOD</v>
      </c>
      <c r="B10" s="5" t="s">
        <v>16</v>
      </c>
      <c r="C10" s="5">
        <v>1.9006200865459299E-2</v>
      </c>
      <c r="D10" s="5">
        <v>1.19129094304535E-2</v>
      </c>
      <c r="E10" s="5">
        <v>1.7758716864194901E-3</v>
      </c>
      <c r="F10" s="5">
        <v>45</v>
      </c>
      <c r="G10" s="5">
        <v>100</v>
      </c>
      <c r="I10"/>
      <c r="J10"/>
      <c r="K10"/>
      <c r="L10"/>
    </row>
    <row r="11" spans="1:12" x14ac:dyDescent="0.2">
      <c r="A11" s="5" t="str">
        <f>"+ SOD"</f>
        <v>+ SOD</v>
      </c>
      <c r="B11" s="5" t="s">
        <v>8</v>
      </c>
      <c r="C11" s="5">
        <v>0.45444568178309902</v>
      </c>
      <c r="D11" s="5">
        <v>7.8524959183738294E-2</v>
      </c>
      <c r="E11" s="5">
        <v>1.25740567417118E-2</v>
      </c>
      <c r="F11" s="5">
        <v>39</v>
      </c>
      <c r="G11" s="5">
        <v>100</v>
      </c>
      <c r="I11"/>
      <c r="J11"/>
      <c r="K11"/>
      <c r="L11"/>
    </row>
    <row r="12" spans="1:12" x14ac:dyDescent="0.2">
      <c r="A12" s="5" t="str">
        <f t="shared" ref="A12:A19" si="1">"+ SOD"</f>
        <v>+ SOD</v>
      </c>
      <c r="B12" s="5" t="s">
        <v>9</v>
      </c>
      <c r="C12" s="5">
        <v>0.15908244456894499</v>
      </c>
      <c r="D12" s="5">
        <v>7.6082986821111795E-2</v>
      </c>
      <c r="E12" s="5">
        <v>1.2183028215641401E-2</v>
      </c>
      <c r="F12" s="5">
        <v>39</v>
      </c>
      <c r="G12" s="5">
        <v>100</v>
      </c>
      <c r="I12"/>
      <c r="J12"/>
      <c r="K12"/>
      <c r="L12"/>
    </row>
    <row r="13" spans="1:12" x14ac:dyDescent="0.2">
      <c r="A13" s="5" t="str">
        <f t="shared" si="1"/>
        <v>+ SOD</v>
      </c>
      <c r="B13" s="5" t="s">
        <v>11</v>
      </c>
      <c r="C13" s="5">
        <v>9.6100300627762106E-2</v>
      </c>
      <c r="D13" s="5">
        <v>5.9416085518549197E-2</v>
      </c>
      <c r="E13" s="5">
        <v>9.5141880804104507E-3</v>
      </c>
      <c r="F13" s="5">
        <v>39</v>
      </c>
      <c r="G13" s="5">
        <v>100</v>
      </c>
      <c r="I13"/>
      <c r="J13"/>
      <c r="K13"/>
      <c r="L13"/>
    </row>
    <row r="14" spans="1:12" x14ac:dyDescent="0.2">
      <c r="A14" s="5" t="str">
        <f t="shared" si="1"/>
        <v>+ SOD</v>
      </c>
      <c r="B14" s="5" t="s">
        <v>10</v>
      </c>
      <c r="C14" s="5">
        <v>8.0631433990717497E-2</v>
      </c>
      <c r="D14" s="5">
        <v>3.7469672756098103E-2</v>
      </c>
      <c r="E14" s="5">
        <v>5.9999495221147604E-3</v>
      </c>
      <c r="F14" s="5">
        <v>39</v>
      </c>
      <c r="G14" s="5">
        <v>100</v>
      </c>
      <c r="I14"/>
      <c r="J14"/>
      <c r="K14"/>
      <c r="L14"/>
    </row>
    <row r="15" spans="1:12" x14ac:dyDescent="0.2">
      <c r="A15" s="5" t="str">
        <f t="shared" si="1"/>
        <v>+ SOD</v>
      </c>
      <c r="B15" s="5" t="s">
        <v>13</v>
      </c>
      <c r="C15" s="5">
        <v>6.3880782549937704E-2</v>
      </c>
      <c r="D15" s="5">
        <v>4.5497285227009902E-2</v>
      </c>
      <c r="E15" s="5">
        <v>7.2853962865445602E-3</v>
      </c>
      <c r="F15" s="5">
        <v>39</v>
      </c>
      <c r="G15" s="5">
        <v>100</v>
      </c>
      <c r="I15"/>
      <c r="J15"/>
      <c r="K15"/>
      <c r="L15"/>
    </row>
    <row r="16" spans="1:12" x14ac:dyDescent="0.2">
      <c r="A16" s="5" t="str">
        <f t="shared" si="1"/>
        <v>+ SOD</v>
      </c>
      <c r="B16" s="5" t="s">
        <v>12</v>
      </c>
      <c r="C16" s="5">
        <v>4.54685204351006E-2</v>
      </c>
      <c r="D16" s="5">
        <v>1.6010612556366401E-2</v>
      </c>
      <c r="E16" s="5">
        <v>2.5637498299394901E-3</v>
      </c>
      <c r="F16" s="5">
        <v>39</v>
      </c>
      <c r="G16" s="5">
        <v>100</v>
      </c>
      <c r="I16"/>
      <c r="J16"/>
      <c r="K16"/>
      <c r="L16"/>
    </row>
    <row r="17" spans="1:12" x14ac:dyDescent="0.2">
      <c r="A17" s="5" t="str">
        <f t="shared" si="1"/>
        <v>+ SOD</v>
      </c>
      <c r="B17" s="5" t="s">
        <v>15</v>
      </c>
      <c r="C17" s="5">
        <v>2.98102822683434E-2</v>
      </c>
      <c r="D17" s="5">
        <v>2.5925353774404601E-2</v>
      </c>
      <c r="E17" s="5">
        <v>4.1513790366391598E-3</v>
      </c>
      <c r="F17" s="5">
        <v>39</v>
      </c>
      <c r="G17" s="5">
        <v>97.435897435897402</v>
      </c>
      <c r="I17"/>
      <c r="J17"/>
      <c r="K17"/>
      <c r="L17"/>
    </row>
    <row r="18" spans="1:12" x14ac:dyDescent="0.2">
      <c r="A18" s="5" t="str">
        <f t="shared" si="1"/>
        <v>+ SOD</v>
      </c>
      <c r="B18" s="5" t="s">
        <v>14</v>
      </c>
      <c r="C18" s="5">
        <v>2.73708975311544E-2</v>
      </c>
      <c r="D18" s="5">
        <v>1.51235183969179E-2</v>
      </c>
      <c r="E18" s="5">
        <v>2.42170107993573E-3</v>
      </c>
      <c r="F18" s="5">
        <v>39</v>
      </c>
      <c r="G18" s="5">
        <v>100</v>
      </c>
      <c r="I18"/>
      <c r="J18"/>
      <c r="K18"/>
      <c r="L18"/>
    </row>
    <row r="19" spans="1:12" x14ac:dyDescent="0.2">
      <c r="A19" s="5" t="str">
        <f t="shared" si="1"/>
        <v>+ SOD</v>
      </c>
      <c r="B19" s="5" t="s">
        <v>16</v>
      </c>
      <c r="C19" s="5">
        <v>2.4172775343122101E-2</v>
      </c>
      <c r="D19" s="5">
        <v>2.16108503149256E-2</v>
      </c>
      <c r="E19" s="5">
        <v>3.4605055630871299E-3</v>
      </c>
      <c r="F19" s="5">
        <v>39</v>
      </c>
      <c r="G19" s="5">
        <v>100</v>
      </c>
      <c r="I19"/>
      <c r="J19"/>
      <c r="K19"/>
      <c r="L19"/>
    </row>
    <row r="21" spans="1:12" ht="18" x14ac:dyDescent="0.2">
      <c r="A21" s="1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E8EB-3490-4147-A159-287F239B3323}">
  <dimension ref="A1:K55"/>
  <sheetViews>
    <sheetView topLeftCell="A36" workbookViewId="0">
      <selection activeCell="A55" sqref="A55"/>
    </sheetView>
  </sheetViews>
  <sheetFormatPr baseColWidth="10" defaultRowHeight="16" x14ac:dyDescent="0.2"/>
  <cols>
    <col min="1" max="1" width="27.6640625" style="3" customWidth="1"/>
    <col min="2" max="2" width="42.83203125" style="3" bestFit="1" customWidth="1"/>
    <col min="3" max="3" width="27.83203125" style="3" bestFit="1" customWidth="1"/>
    <col min="4" max="4" width="20.1640625" style="3" bestFit="1" customWidth="1"/>
    <col min="5" max="5" width="16" style="3" bestFit="1" customWidth="1"/>
    <col min="6" max="6" width="13.5" style="3" bestFit="1" customWidth="1"/>
    <col min="7" max="7" width="20.83203125" style="3" bestFit="1" customWidth="1"/>
    <col min="8" max="11" width="10.83203125" style="2"/>
    <col min="12" max="16384" width="10.83203125" style="7"/>
  </cols>
  <sheetData>
    <row r="1" spans="1:7" ht="17" thickBot="1" x14ac:dyDescent="0.25">
      <c r="A1" s="39" t="s">
        <v>214</v>
      </c>
      <c r="B1" s="34" t="s">
        <v>18</v>
      </c>
      <c r="C1" s="34" t="s">
        <v>173</v>
      </c>
      <c r="D1" s="34" t="s">
        <v>174</v>
      </c>
      <c r="E1" s="34" t="s">
        <v>175</v>
      </c>
      <c r="F1" s="34" t="s">
        <v>176</v>
      </c>
      <c r="G1" s="34" t="s">
        <v>177</v>
      </c>
    </row>
    <row r="2" spans="1:7" x14ac:dyDescent="0.2">
      <c r="A2" s="4" t="str">
        <f>"- SOD"</f>
        <v>- SOD</v>
      </c>
      <c r="B2" s="4" t="s">
        <v>19</v>
      </c>
      <c r="C2" s="4">
        <v>0.172833467516357</v>
      </c>
      <c r="D2" s="4">
        <v>0.12169147199543399</v>
      </c>
      <c r="E2" s="4">
        <v>1.8140693577586801E-2</v>
      </c>
      <c r="F2" s="4">
        <v>45</v>
      </c>
      <c r="G2" s="4">
        <v>95.5555555555556</v>
      </c>
    </row>
    <row r="3" spans="1:7" x14ac:dyDescent="0.2">
      <c r="A3" s="4" t="str">
        <f t="shared" ref="A3:A26" si="0">"- SOD"</f>
        <v>- SOD</v>
      </c>
      <c r="B3" s="4" t="s">
        <v>20</v>
      </c>
      <c r="C3" s="4">
        <v>5.5163373489137302E-2</v>
      </c>
      <c r="D3" s="4">
        <v>4.66324524595704E-2</v>
      </c>
      <c r="E3" s="4">
        <v>6.9515555771417796E-3</v>
      </c>
      <c r="F3" s="4">
        <v>45</v>
      </c>
      <c r="G3" s="4">
        <v>93.3333333333333</v>
      </c>
    </row>
    <row r="4" spans="1:7" x14ac:dyDescent="0.2">
      <c r="A4" s="4" t="str">
        <f t="shared" si="0"/>
        <v>- SOD</v>
      </c>
      <c r="B4" s="4" t="s">
        <v>21</v>
      </c>
      <c r="C4" s="4">
        <v>5.0708266329764801E-2</v>
      </c>
      <c r="D4" s="4">
        <v>4.1579484140163499E-2</v>
      </c>
      <c r="E4" s="4">
        <v>6.1983035337853298E-3</v>
      </c>
      <c r="F4" s="4">
        <v>45</v>
      </c>
      <c r="G4" s="4">
        <v>97.7777777777778</v>
      </c>
    </row>
    <row r="5" spans="1:7" x14ac:dyDescent="0.2">
      <c r="A5" s="4" t="str">
        <f t="shared" si="0"/>
        <v>- SOD</v>
      </c>
      <c r="B5" s="4" t="s">
        <v>22</v>
      </c>
      <c r="C5" s="4">
        <v>4.5073728636215803E-2</v>
      </c>
      <c r="D5" s="4">
        <v>1.2701934715174701E-2</v>
      </c>
      <c r="E5" s="4">
        <v>1.8934926312596701E-3</v>
      </c>
      <c r="F5" s="4">
        <v>45</v>
      </c>
      <c r="G5" s="4">
        <v>100</v>
      </c>
    </row>
    <row r="6" spans="1:7" x14ac:dyDescent="0.2">
      <c r="A6" s="4" t="str">
        <f t="shared" si="0"/>
        <v>- SOD</v>
      </c>
      <c r="B6" s="4" t="s">
        <v>23</v>
      </c>
      <c r="C6" s="4">
        <v>4.1463632360168999E-2</v>
      </c>
      <c r="D6" s="4">
        <v>3.5873994729641298E-2</v>
      </c>
      <c r="E6" s="4">
        <v>5.3477793893297997E-3</v>
      </c>
      <c r="F6" s="4">
        <v>45</v>
      </c>
      <c r="G6" s="4">
        <v>100</v>
      </c>
    </row>
    <row r="7" spans="1:7" x14ac:dyDescent="0.2">
      <c r="A7" s="4" t="str">
        <f t="shared" si="0"/>
        <v>- SOD</v>
      </c>
      <c r="B7" s="4" t="s">
        <v>25</v>
      </c>
      <c r="C7" s="4">
        <v>3.6159288840867797E-2</v>
      </c>
      <c r="D7" s="4">
        <v>1.6853932603729499E-2</v>
      </c>
      <c r="E7" s="4">
        <v>2.5124359326759399E-3</v>
      </c>
      <c r="F7" s="4">
        <v>45</v>
      </c>
      <c r="G7" s="4">
        <v>100</v>
      </c>
    </row>
    <row r="8" spans="1:7" x14ac:dyDescent="0.2">
      <c r="A8" s="4" t="str">
        <f t="shared" si="0"/>
        <v>- SOD</v>
      </c>
      <c r="B8" s="4" t="s">
        <v>24</v>
      </c>
      <c r="C8" s="4">
        <v>3.5744021504464103E-2</v>
      </c>
      <c r="D8" s="4">
        <v>2.23452616090654E-2</v>
      </c>
      <c r="E8" s="4">
        <v>3.3310349288591099E-3</v>
      </c>
      <c r="F8" s="4">
        <v>45</v>
      </c>
      <c r="G8" s="4">
        <v>100</v>
      </c>
    </row>
    <row r="9" spans="1:7" x14ac:dyDescent="0.2">
      <c r="A9" s="4" t="str">
        <f t="shared" si="0"/>
        <v>- SOD</v>
      </c>
      <c r="B9" s="4" t="s">
        <v>27</v>
      </c>
      <c r="C9" s="4">
        <v>3.27722377176198E-2</v>
      </c>
      <c r="D9" s="4">
        <v>2.4316113812231799E-2</v>
      </c>
      <c r="E9" s="4">
        <v>3.6248322288514501E-3</v>
      </c>
      <c r="F9" s="4">
        <v>45</v>
      </c>
      <c r="G9" s="4">
        <v>97.7777777777778</v>
      </c>
    </row>
    <row r="10" spans="1:7" x14ac:dyDescent="0.2">
      <c r="A10" s="4" t="str">
        <f t="shared" si="0"/>
        <v>- SOD</v>
      </c>
      <c r="B10" s="4" t="s">
        <v>26</v>
      </c>
      <c r="C10" s="4">
        <v>3.1906667645896399E-2</v>
      </c>
      <c r="D10" s="4">
        <v>2.0486660643895101E-2</v>
      </c>
      <c r="E10" s="4">
        <v>3.05397105544793E-3</v>
      </c>
      <c r="F10" s="4">
        <v>45</v>
      </c>
      <c r="G10" s="4">
        <v>100</v>
      </c>
    </row>
    <row r="11" spans="1:7" x14ac:dyDescent="0.2">
      <c r="A11" s="4" t="str">
        <f t="shared" si="0"/>
        <v>- SOD</v>
      </c>
      <c r="B11" s="4" t="s">
        <v>28</v>
      </c>
      <c r="C11" s="4">
        <v>2.4894312882119501E-2</v>
      </c>
      <c r="D11" s="4">
        <v>1.9198383099275101E-2</v>
      </c>
      <c r="E11" s="4">
        <v>2.8619259778708199E-3</v>
      </c>
      <c r="F11" s="4">
        <v>45</v>
      </c>
      <c r="G11" s="4">
        <v>95.5555555555556</v>
      </c>
    </row>
    <row r="12" spans="1:7" x14ac:dyDescent="0.2">
      <c r="A12" s="4" t="str">
        <f t="shared" si="0"/>
        <v>- SOD</v>
      </c>
      <c r="B12" s="4" t="s">
        <v>29</v>
      </c>
      <c r="C12" s="4">
        <v>2.2818869838341901E-2</v>
      </c>
      <c r="D12" s="4">
        <v>3.1683385419521898E-2</v>
      </c>
      <c r="E12" s="4">
        <v>4.7230802370251098E-3</v>
      </c>
      <c r="F12" s="4">
        <v>45</v>
      </c>
      <c r="G12" s="4">
        <v>91.1111111111111</v>
      </c>
    </row>
    <row r="13" spans="1:7" x14ac:dyDescent="0.2">
      <c r="A13" s="4" t="str">
        <f t="shared" si="0"/>
        <v>- SOD</v>
      </c>
      <c r="B13" s="4" t="s">
        <v>30</v>
      </c>
      <c r="C13" s="4">
        <v>2.2416897003086099E-2</v>
      </c>
      <c r="D13" s="4">
        <v>1.1809934470673401E-2</v>
      </c>
      <c r="E13" s="4">
        <v>1.7605210857495801E-3</v>
      </c>
      <c r="F13" s="4">
        <v>45</v>
      </c>
      <c r="G13" s="4">
        <v>100</v>
      </c>
    </row>
    <row r="14" spans="1:7" x14ac:dyDescent="0.2">
      <c r="A14" s="4" t="str">
        <f t="shared" si="0"/>
        <v>- SOD</v>
      </c>
      <c r="B14" s="4" t="s">
        <v>32</v>
      </c>
      <c r="C14" s="4">
        <v>1.99458191474307E-2</v>
      </c>
      <c r="D14" s="4">
        <v>1.7216928158171298E-2</v>
      </c>
      <c r="E14" s="4">
        <v>2.5665481150267499E-3</v>
      </c>
      <c r="F14" s="4">
        <v>45</v>
      </c>
      <c r="G14" s="4">
        <v>95.5555555555556</v>
      </c>
    </row>
    <row r="15" spans="1:7" x14ac:dyDescent="0.2">
      <c r="A15" s="4" t="str">
        <f t="shared" si="0"/>
        <v>- SOD</v>
      </c>
      <c r="B15" s="4" t="s">
        <v>33</v>
      </c>
      <c r="C15" s="4">
        <v>1.9153675390515001E-2</v>
      </c>
      <c r="D15" s="4">
        <v>1.37171794414066E-2</v>
      </c>
      <c r="E15" s="4">
        <v>2.0448363793698502E-3</v>
      </c>
      <c r="F15" s="4">
        <v>45</v>
      </c>
      <c r="G15" s="4">
        <v>91.1111111111111</v>
      </c>
    </row>
    <row r="16" spans="1:7" x14ac:dyDescent="0.2">
      <c r="A16" s="4" t="str">
        <f t="shared" si="0"/>
        <v>- SOD</v>
      </c>
      <c r="B16" s="4" t="s">
        <v>31</v>
      </c>
      <c r="C16" s="4">
        <v>1.90962540448355E-2</v>
      </c>
      <c r="D16" s="4">
        <v>2.5188322440995201E-2</v>
      </c>
      <c r="E16" s="4">
        <v>3.7548534144832501E-3</v>
      </c>
      <c r="F16" s="4">
        <v>45</v>
      </c>
      <c r="G16" s="4">
        <v>86.6666666666667</v>
      </c>
    </row>
    <row r="17" spans="1:7" x14ac:dyDescent="0.2">
      <c r="A17" s="4" t="str">
        <f t="shared" si="0"/>
        <v>- SOD</v>
      </c>
      <c r="B17" s="4" t="s">
        <v>34</v>
      </c>
      <c r="C17" s="4">
        <v>1.75935561323338E-2</v>
      </c>
      <c r="D17" s="4">
        <v>1.82286310352919E-2</v>
      </c>
      <c r="E17" s="4">
        <v>2.7173638754449999E-3</v>
      </c>
      <c r="F17" s="4">
        <v>45</v>
      </c>
      <c r="G17" s="4">
        <v>95.5555555555556</v>
      </c>
    </row>
    <row r="18" spans="1:7" x14ac:dyDescent="0.2">
      <c r="A18" s="4" t="str">
        <f t="shared" si="0"/>
        <v>- SOD</v>
      </c>
      <c r="B18" s="4" t="s">
        <v>35</v>
      </c>
      <c r="C18" s="4">
        <v>1.5790585746226798E-2</v>
      </c>
      <c r="D18" s="4">
        <v>9.5894930477688003E-3</v>
      </c>
      <c r="E18" s="4">
        <v>1.42951722163818E-3</v>
      </c>
      <c r="F18" s="4">
        <v>45</v>
      </c>
      <c r="G18" s="4">
        <v>97.7777777777778</v>
      </c>
    </row>
    <row r="19" spans="1:7" x14ac:dyDescent="0.2">
      <c r="A19" s="4" t="str">
        <f t="shared" si="0"/>
        <v>- SOD</v>
      </c>
      <c r="B19" s="4" t="s">
        <v>36</v>
      </c>
      <c r="C19" s="4">
        <v>1.43515194750597E-2</v>
      </c>
      <c r="D19" s="4">
        <v>1.39977473067819E-2</v>
      </c>
      <c r="E19" s="4">
        <v>2.0866609673219302E-3</v>
      </c>
      <c r="F19" s="4">
        <v>45</v>
      </c>
      <c r="G19" s="4">
        <v>97.7777777777778</v>
      </c>
    </row>
    <row r="20" spans="1:7" x14ac:dyDescent="0.2">
      <c r="A20" s="4" t="str">
        <f t="shared" si="0"/>
        <v>- SOD</v>
      </c>
      <c r="B20" s="4" t="s">
        <v>38</v>
      </c>
      <c r="C20" s="4">
        <v>1.4100450419681001E-2</v>
      </c>
      <c r="D20" s="4">
        <v>2.5816058924256601E-2</v>
      </c>
      <c r="E20" s="4">
        <v>3.8484308443851901E-3</v>
      </c>
      <c r="F20" s="4">
        <v>45</v>
      </c>
      <c r="G20" s="4">
        <v>73.3333333333333</v>
      </c>
    </row>
    <row r="21" spans="1:7" x14ac:dyDescent="0.2">
      <c r="A21" s="4" t="str">
        <f t="shared" si="0"/>
        <v>- SOD</v>
      </c>
      <c r="B21" s="4" t="s">
        <v>37</v>
      </c>
      <c r="C21" s="4">
        <v>1.40098929392451E-2</v>
      </c>
      <c r="D21" s="4">
        <v>9.3460190829770303E-3</v>
      </c>
      <c r="E21" s="4">
        <v>1.39322226590313E-3</v>
      </c>
      <c r="F21" s="4">
        <v>45</v>
      </c>
      <c r="G21" s="4">
        <v>100</v>
      </c>
    </row>
    <row r="22" spans="1:7" x14ac:dyDescent="0.2">
      <c r="A22" s="4" t="str">
        <f t="shared" si="0"/>
        <v>- SOD</v>
      </c>
      <c r="B22" s="4" t="s">
        <v>178</v>
      </c>
      <c r="C22" s="4" t="s">
        <v>149</v>
      </c>
      <c r="D22" s="4" t="s">
        <v>149</v>
      </c>
      <c r="E22" s="4" t="s">
        <v>149</v>
      </c>
      <c r="F22" s="4" t="s">
        <v>149</v>
      </c>
      <c r="G22" s="4" t="s">
        <v>149</v>
      </c>
    </row>
    <row r="23" spans="1:7" x14ac:dyDescent="0.2">
      <c r="A23" s="4" t="str">
        <f t="shared" si="0"/>
        <v>- SOD</v>
      </c>
      <c r="B23" s="4" t="s">
        <v>39</v>
      </c>
      <c r="C23" s="4">
        <v>1.2882046338095299E-2</v>
      </c>
      <c r="D23" s="4">
        <v>1.26496966165397E-2</v>
      </c>
      <c r="E23" s="4">
        <v>1.88570543528878E-3</v>
      </c>
      <c r="F23" s="4">
        <v>45</v>
      </c>
      <c r="G23" s="4">
        <v>88.8888888888889</v>
      </c>
    </row>
    <row r="24" spans="1:7" x14ac:dyDescent="0.2">
      <c r="A24" s="4" t="str">
        <f t="shared" si="0"/>
        <v>- SOD</v>
      </c>
      <c r="B24" s="4" t="s">
        <v>40</v>
      </c>
      <c r="C24" s="4">
        <v>1.16514859811992E-2</v>
      </c>
      <c r="D24" s="4">
        <v>5.6224672980610801E-3</v>
      </c>
      <c r="E24" s="4">
        <v>8.3814793864894299E-4</v>
      </c>
      <c r="F24" s="4">
        <v>45</v>
      </c>
      <c r="G24" s="4">
        <v>97.7777777777778</v>
      </c>
    </row>
    <row r="25" spans="1:7" x14ac:dyDescent="0.2">
      <c r="A25" s="4" t="str">
        <f t="shared" si="0"/>
        <v>- SOD</v>
      </c>
      <c r="B25" s="4" t="s">
        <v>41</v>
      </c>
      <c r="C25" s="4">
        <v>1.05699713934329E-2</v>
      </c>
      <c r="D25" s="4">
        <v>1.0341583584239099E-2</v>
      </c>
      <c r="E25" s="4">
        <v>1.5416322592903E-3</v>
      </c>
      <c r="F25" s="4">
        <v>45</v>
      </c>
      <c r="G25" s="4">
        <v>82.2222222222222</v>
      </c>
    </row>
    <row r="26" spans="1:7" x14ac:dyDescent="0.2">
      <c r="A26" s="4" t="str">
        <f t="shared" si="0"/>
        <v>- SOD</v>
      </c>
      <c r="B26" s="4" t="s">
        <v>44</v>
      </c>
      <c r="C26" s="4">
        <v>8.09030857609974E-3</v>
      </c>
      <c r="D26" s="4">
        <v>5.2604003718739198E-3</v>
      </c>
      <c r="E26" s="4">
        <v>7.8417418802501798E-4</v>
      </c>
      <c r="F26" s="4">
        <v>45</v>
      </c>
      <c r="G26" s="4">
        <v>93.3333333333333</v>
      </c>
    </row>
    <row r="27" spans="1:7" x14ac:dyDescent="0.2">
      <c r="A27" s="4" t="str">
        <f>"+ SOD"</f>
        <v>+ SOD</v>
      </c>
      <c r="B27" s="4" t="s">
        <v>19</v>
      </c>
      <c r="C27" s="4">
        <v>0.14308768726892501</v>
      </c>
      <c r="D27" s="4">
        <v>0.103480662800028</v>
      </c>
      <c r="E27" s="4">
        <v>1.6570167488695199E-2</v>
      </c>
      <c r="F27" s="4">
        <v>39</v>
      </c>
      <c r="G27" s="4">
        <v>100</v>
      </c>
    </row>
    <row r="28" spans="1:7" x14ac:dyDescent="0.2">
      <c r="A28" s="4" t="str">
        <f t="shared" ref="A28:A53" si="1">"+ SOD"</f>
        <v>+ SOD</v>
      </c>
      <c r="B28" s="4" t="s">
        <v>20</v>
      </c>
      <c r="C28" s="4">
        <v>4.23259238561563E-2</v>
      </c>
      <c r="D28" s="4">
        <v>5.4430379808857503E-2</v>
      </c>
      <c r="E28" s="4">
        <v>8.7158362297020398E-3</v>
      </c>
      <c r="F28" s="4">
        <v>39</v>
      </c>
      <c r="G28" s="4">
        <v>94.871794871794904</v>
      </c>
    </row>
    <row r="29" spans="1:7" x14ac:dyDescent="0.2">
      <c r="A29" s="4" t="str">
        <f t="shared" si="1"/>
        <v>+ SOD</v>
      </c>
      <c r="B29" s="4" t="s">
        <v>22</v>
      </c>
      <c r="C29" s="4">
        <v>4.0357751780649598E-2</v>
      </c>
      <c r="D29" s="4">
        <v>1.7680685024647199E-2</v>
      </c>
      <c r="E29" s="4">
        <v>2.8311754510060099E-3</v>
      </c>
      <c r="F29" s="4">
        <v>39</v>
      </c>
      <c r="G29" s="4">
        <v>100</v>
      </c>
    </row>
    <row r="30" spans="1:7" x14ac:dyDescent="0.2">
      <c r="A30" s="4" t="str">
        <f t="shared" si="1"/>
        <v>+ SOD</v>
      </c>
      <c r="B30" s="4" t="s">
        <v>23</v>
      </c>
      <c r="C30" s="4">
        <v>3.7809774483549698E-2</v>
      </c>
      <c r="D30" s="4">
        <v>3.06848787262421E-2</v>
      </c>
      <c r="E30" s="4">
        <v>4.9135129801661298E-3</v>
      </c>
      <c r="F30" s="4">
        <v>39</v>
      </c>
      <c r="G30" s="4">
        <v>97.435897435897402</v>
      </c>
    </row>
    <row r="31" spans="1:7" x14ac:dyDescent="0.2">
      <c r="A31" s="4" t="str">
        <f t="shared" si="1"/>
        <v>+ SOD</v>
      </c>
      <c r="B31" s="4" t="s">
        <v>24</v>
      </c>
      <c r="C31" s="4">
        <v>3.0390436134096602E-2</v>
      </c>
      <c r="D31" s="4">
        <v>2.1233967882948099E-2</v>
      </c>
      <c r="E31" s="4">
        <v>3.40015607505299E-3</v>
      </c>
      <c r="F31" s="4">
        <v>39</v>
      </c>
      <c r="G31" s="4">
        <v>97.435897435897402</v>
      </c>
    </row>
    <row r="32" spans="1:7" x14ac:dyDescent="0.2">
      <c r="A32" s="4" t="str">
        <f t="shared" si="1"/>
        <v>+ SOD</v>
      </c>
      <c r="B32" s="4" t="s">
        <v>21</v>
      </c>
      <c r="C32" s="4">
        <v>2.9850137514103099E-2</v>
      </c>
      <c r="D32" s="4">
        <v>2.5875445454474399E-2</v>
      </c>
      <c r="E32" s="4">
        <v>4.1433873095092196E-3</v>
      </c>
      <c r="F32" s="4">
        <v>39</v>
      </c>
      <c r="G32" s="4">
        <v>97.435897435897402</v>
      </c>
    </row>
    <row r="33" spans="1:7" x14ac:dyDescent="0.2">
      <c r="A33" s="4" t="str">
        <f t="shared" si="1"/>
        <v>+ SOD</v>
      </c>
      <c r="B33" s="4" t="s">
        <v>25</v>
      </c>
      <c r="C33" s="4">
        <v>2.9455553024124E-2</v>
      </c>
      <c r="D33" s="4">
        <v>1.8163105261077402E-2</v>
      </c>
      <c r="E33" s="4">
        <v>2.9084245128237901E-3</v>
      </c>
      <c r="F33" s="4">
        <v>39</v>
      </c>
      <c r="G33" s="4">
        <v>100</v>
      </c>
    </row>
    <row r="34" spans="1:7" x14ac:dyDescent="0.2">
      <c r="A34" s="4" t="str">
        <f t="shared" si="1"/>
        <v>+ SOD</v>
      </c>
      <c r="B34" s="4" t="s">
        <v>26</v>
      </c>
      <c r="C34" s="4">
        <v>2.58390594924745E-2</v>
      </c>
      <c r="D34" s="4">
        <v>1.59705180265565E-2</v>
      </c>
      <c r="E34" s="4">
        <v>2.5573295669033499E-3</v>
      </c>
      <c r="F34" s="4">
        <v>39</v>
      </c>
      <c r="G34" s="4">
        <v>100</v>
      </c>
    </row>
    <row r="35" spans="1:7" x14ac:dyDescent="0.2">
      <c r="A35" s="4" t="str">
        <f t="shared" si="1"/>
        <v>+ SOD</v>
      </c>
      <c r="B35" s="4" t="s">
        <v>43</v>
      </c>
      <c r="C35" s="4">
        <v>2.41985890276597E-2</v>
      </c>
      <c r="D35" s="4">
        <v>2.82054166085993E-2</v>
      </c>
      <c r="E35" s="4">
        <v>4.5164812888383596E-3</v>
      </c>
      <c r="F35" s="4">
        <v>39</v>
      </c>
      <c r="G35" s="4">
        <v>89.743589743589794</v>
      </c>
    </row>
    <row r="36" spans="1:7" x14ac:dyDescent="0.2">
      <c r="A36" s="4" t="str">
        <f t="shared" si="1"/>
        <v>+ SOD</v>
      </c>
      <c r="B36" s="4" t="s">
        <v>32</v>
      </c>
      <c r="C36" s="4">
        <v>2.4027094482495501E-2</v>
      </c>
      <c r="D36" s="4">
        <v>2.51954802185099E-2</v>
      </c>
      <c r="E36" s="4">
        <v>4.0345057316225801E-3</v>
      </c>
      <c r="F36" s="4">
        <v>39</v>
      </c>
      <c r="G36" s="4">
        <v>92.307692307692307</v>
      </c>
    </row>
    <row r="37" spans="1:7" x14ac:dyDescent="0.2">
      <c r="A37" s="4" t="str">
        <f t="shared" si="1"/>
        <v>+ SOD</v>
      </c>
      <c r="B37" s="4" t="s">
        <v>27</v>
      </c>
      <c r="C37" s="4">
        <v>2.3684496941872201E-2</v>
      </c>
      <c r="D37" s="4">
        <v>1.8175818532038299E-2</v>
      </c>
      <c r="E37" s="4">
        <v>2.91046026543159E-3</v>
      </c>
      <c r="F37" s="4">
        <v>39</v>
      </c>
      <c r="G37" s="4">
        <v>94.871794871794904</v>
      </c>
    </row>
    <row r="38" spans="1:7" x14ac:dyDescent="0.2">
      <c r="A38" s="4" t="str">
        <f t="shared" si="1"/>
        <v>+ SOD</v>
      </c>
      <c r="B38" s="4" t="s">
        <v>30</v>
      </c>
      <c r="C38" s="4">
        <v>2.2313566993157601E-2</v>
      </c>
      <c r="D38" s="4">
        <v>1.2411802168307199E-2</v>
      </c>
      <c r="E38" s="4">
        <v>1.98747896660501E-3</v>
      </c>
      <c r="F38" s="4">
        <v>39</v>
      </c>
      <c r="G38" s="4">
        <v>100</v>
      </c>
    </row>
    <row r="39" spans="1:7" x14ac:dyDescent="0.2">
      <c r="A39" s="4" t="str">
        <f t="shared" si="1"/>
        <v>+ SOD</v>
      </c>
      <c r="B39" s="4" t="s">
        <v>28</v>
      </c>
      <c r="C39" s="4">
        <v>2.2203947573854899E-2</v>
      </c>
      <c r="D39" s="4">
        <v>1.6688536882414701E-2</v>
      </c>
      <c r="E39" s="4">
        <v>2.6723046006891598E-3</v>
      </c>
      <c r="F39" s="4">
        <v>39</v>
      </c>
      <c r="G39" s="4">
        <v>94.871794871794904</v>
      </c>
    </row>
    <row r="40" spans="1:7" x14ac:dyDescent="0.2">
      <c r="A40" s="4" t="str">
        <f t="shared" si="1"/>
        <v>+ SOD</v>
      </c>
      <c r="B40" s="4" t="s">
        <v>29</v>
      </c>
      <c r="C40" s="4">
        <v>2.0067239058351002E-2</v>
      </c>
      <c r="D40" s="4">
        <v>1.9578647701615898E-2</v>
      </c>
      <c r="E40" s="4">
        <v>3.1350927104599698E-3</v>
      </c>
      <c r="F40" s="4">
        <v>39</v>
      </c>
      <c r="G40" s="4">
        <v>100</v>
      </c>
    </row>
    <row r="41" spans="1:7" x14ac:dyDescent="0.2">
      <c r="A41" s="4" t="str">
        <f t="shared" si="1"/>
        <v>+ SOD</v>
      </c>
      <c r="B41" s="4" t="s">
        <v>38</v>
      </c>
      <c r="C41" s="4">
        <v>1.8035020235786101E-2</v>
      </c>
      <c r="D41" s="4">
        <v>2.9131700686282701E-2</v>
      </c>
      <c r="E41" s="4">
        <v>4.6648054480968402E-3</v>
      </c>
      <c r="F41" s="4">
        <v>39</v>
      </c>
      <c r="G41" s="4">
        <v>82.051282051282001</v>
      </c>
    </row>
    <row r="42" spans="1:7" x14ac:dyDescent="0.2">
      <c r="A42" s="4" t="str">
        <f t="shared" si="1"/>
        <v>+ SOD</v>
      </c>
      <c r="B42" s="4" t="s">
        <v>34</v>
      </c>
      <c r="C42" s="4">
        <v>1.7676327618059401E-2</v>
      </c>
      <c r="D42" s="4">
        <v>1.8437363652838899E-2</v>
      </c>
      <c r="E42" s="4">
        <v>2.9523410027621098E-3</v>
      </c>
      <c r="F42" s="4">
        <v>39</v>
      </c>
      <c r="G42" s="4">
        <v>94.871794871794904</v>
      </c>
    </row>
    <row r="43" spans="1:7" x14ac:dyDescent="0.2">
      <c r="A43" s="4" t="str">
        <f t="shared" si="1"/>
        <v>+ SOD</v>
      </c>
      <c r="B43" s="4" t="s">
        <v>35</v>
      </c>
      <c r="C43" s="4">
        <v>1.7581547808002598E-2</v>
      </c>
      <c r="D43" s="4">
        <v>1.0305794340072699E-2</v>
      </c>
      <c r="E43" s="4">
        <v>1.6502478211707599E-3</v>
      </c>
      <c r="F43" s="4">
        <v>39</v>
      </c>
      <c r="G43" s="4">
        <v>100</v>
      </c>
    </row>
    <row r="44" spans="1:7" x14ac:dyDescent="0.2">
      <c r="A44" s="4" t="str">
        <f t="shared" si="1"/>
        <v>+ SOD</v>
      </c>
      <c r="B44" s="4" t="s">
        <v>36</v>
      </c>
      <c r="C44" s="4">
        <v>1.6569072849567001E-2</v>
      </c>
      <c r="D44" s="4">
        <v>1.1640807508476301E-2</v>
      </c>
      <c r="E44" s="4">
        <v>1.8640210151327E-3</v>
      </c>
      <c r="F44" s="4">
        <v>39</v>
      </c>
      <c r="G44" s="4">
        <v>100</v>
      </c>
    </row>
    <row r="45" spans="1:7" x14ac:dyDescent="0.2">
      <c r="A45" s="4" t="str">
        <f t="shared" si="1"/>
        <v>+ SOD</v>
      </c>
      <c r="B45" s="4" t="s">
        <v>31</v>
      </c>
      <c r="C45" s="4">
        <v>1.5202276483149601E-2</v>
      </c>
      <c r="D45" s="4">
        <v>1.6201372022212199E-2</v>
      </c>
      <c r="E45" s="4">
        <v>2.5942957910262301E-3</v>
      </c>
      <c r="F45" s="4">
        <v>39</v>
      </c>
      <c r="G45" s="4">
        <v>87.179487179487197</v>
      </c>
    </row>
    <row r="46" spans="1:7" x14ac:dyDescent="0.2">
      <c r="A46" s="4" t="str">
        <f t="shared" si="1"/>
        <v>+ SOD</v>
      </c>
      <c r="B46" s="4" t="s">
        <v>33</v>
      </c>
      <c r="C46" s="4">
        <v>1.5134617987463701E-2</v>
      </c>
      <c r="D46" s="4">
        <v>1.37165113563609E-2</v>
      </c>
      <c r="E46" s="4">
        <v>2.1963996401405902E-3</v>
      </c>
      <c r="F46" s="4">
        <v>39</v>
      </c>
      <c r="G46" s="4">
        <v>89.743589743589794</v>
      </c>
    </row>
    <row r="47" spans="1:7" x14ac:dyDescent="0.2">
      <c r="A47" s="4" t="str">
        <f t="shared" si="1"/>
        <v>+ SOD</v>
      </c>
      <c r="B47" s="4" t="s">
        <v>39</v>
      </c>
      <c r="C47" s="4">
        <v>1.3302912186482699E-2</v>
      </c>
      <c r="D47" s="4">
        <v>1.2803534730922401E-2</v>
      </c>
      <c r="E47" s="4">
        <v>2.0502063786419201E-3</v>
      </c>
      <c r="F47" s="4">
        <v>39</v>
      </c>
      <c r="G47" s="4">
        <v>89.743589743589794</v>
      </c>
    </row>
    <row r="48" spans="1:7" x14ac:dyDescent="0.2">
      <c r="A48" s="4" t="str">
        <f t="shared" si="1"/>
        <v>+ SOD</v>
      </c>
      <c r="B48" s="4" t="s">
        <v>49</v>
      </c>
      <c r="C48" s="4">
        <v>1.1586018401737799E-2</v>
      </c>
      <c r="D48" s="4">
        <v>5.1019173856607897E-2</v>
      </c>
      <c r="E48" s="4">
        <v>8.1696061183193901E-3</v>
      </c>
      <c r="F48" s="4">
        <v>39</v>
      </c>
      <c r="G48" s="4">
        <v>74.358974358974393</v>
      </c>
    </row>
    <row r="49" spans="1:7" x14ac:dyDescent="0.2">
      <c r="A49" s="4" t="str">
        <f t="shared" si="1"/>
        <v>+ SOD</v>
      </c>
      <c r="B49" s="4" t="s">
        <v>40</v>
      </c>
      <c r="C49" s="4">
        <v>1.1240660102098199E-2</v>
      </c>
      <c r="D49" s="4">
        <v>6.8711878708430296E-3</v>
      </c>
      <c r="E49" s="4">
        <v>1.100270628206E-3</v>
      </c>
      <c r="F49" s="4">
        <v>39</v>
      </c>
      <c r="G49" s="4">
        <v>94.871794871794904</v>
      </c>
    </row>
    <row r="50" spans="1:7" x14ac:dyDescent="0.2">
      <c r="A50" s="4" t="str">
        <f t="shared" si="1"/>
        <v>+ SOD</v>
      </c>
      <c r="B50" s="4" t="s">
        <v>37</v>
      </c>
      <c r="C50" s="4">
        <v>1.09772374029595E-2</v>
      </c>
      <c r="D50" s="4">
        <v>7.9990556081686402E-3</v>
      </c>
      <c r="E50" s="4">
        <v>1.2808740067202699E-3</v>
      </c>
      <c r="F50" s="4">
        <v>39</v>
      </c>
      <c r="G50" s="4">
        <v>87.179487179487197</v>
      </c>
    </row>
    <row r="51" spans="1:7" x14ac:dyDescent="0.2">
      <c r="A51" s="4" t="str">
        <f t="shared" si="1"/>
        <v>+ SOD</v>
      </c>
      <c r="B51" s="4" t="s">
        <v>44</v>
      </c>
      <c r="C51" s="4">
        <v>1.0700868158498E-2</v>
      </c>
      <c r="D51" s="4">
        <v>9.5890294852280008E-3</v>
      </c>
      <c r="E51" s="4">
        <v>1.5354735882520999E-3</v>
      </c>
      <c r="F51" s="4">
        <v>39</v>
      </c>
      <c r="G51" s="4">
        <v>94.871794871794904</v>
      </c>
    </row>
    <row r="52" spans="1:7" x14ac:dyDescent="0.2">
      <c r="A52" s="4" t="str">
        <f t="shared" si="1"/>
        <v>+ SOD</v>
      </c>
      <c r="B52" s="4" t="s">
        <v>53</v>
      </c>
      <c r="C52" s="4">
        <v>1.02796727777006E-2</v>
      </c>
      <c r="D52" s="4">
        <v>1.31007065606121E-2</v>
      </c>
      <c r="E52" s="4">
        <v>2.0977919550930102E-3</v>
      </c>
      <c r="F52" s="4">
        <v>39</v>
      </c>
      <c r="G52" s="4">
        <v>87.179487179487197</v>
      </c>
    </row>
    <row r="53" spans="1:7" x14ac:dyDescent="0.2">
      <c r="A53" s="4" t="str">
        <f t="shared" si="1"/>
        <v>+ SOD</v>
      </c>
      <c r="B53" s="4" t="s">
        <v>41</v>
      </c>
      <c r="C53" s="4">
        <v>9.32030592397666E-3</v>
      </c>
      <c r="D53" s="4">
        <v>6.8759590556669303E-3</v>
      </c>
      <c r="E53" s="4">
        <v>1.10103462922332E-3</v>
      </c>
      <c r="F53" s="4">
        <v>39</v>
      </c>
      <c r="G53" s="4">
        <v>89.743589743589794</v>
      </c>
    </row>
    <row r="55" spans="1:7" ht="18" x14ac:dyDescent="0.2">
      <c r="A55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0BC5-0979-324C-B423-A389C7969627}">
  <dimension ref="A1:G13"/>
  <sheetViews>
    <sheetView workbookViewId="0">
      <selection activeCell="A13" sqref="A13"/>
    </sheetView>
  </sheetViews>
  <sheetFormatPr baseColWidth="10" defaultRowHeight="16" x14ac:dyDescent="0.2"/>
  <cols>
    <col min="1" max="1" width="27.6640625" style="1" customWidth="1"/>
    <col min="2" max="2" width="17.5" style="1" bestFit="1" customWidth="1"/>
    <col min="3" max="3" width="27.1640625" style="1" bestFit="1" customWidth="1"/>
    <col min="4" max="4" width="19.5" style="1" bestFit="1" customWidth="1"/>
    <col min="5" max="5" width="16.1640625" style="1" customWidth="1"/>
    <col min="6" max="6" width="13.33203125" style="1" bestFit="1" customWidth="1"/>
    <col min="7" max="7" width="21.1640625" style="1" customWidth="1"/>
    <col min="8" max="16384" width="10.83203125" style="1"/>
  </cols>
  <sheetData>
    <row r="1" spans="1:7" ht="17" thickBot="1" x14ac:dyDescent="0.25">
      <c r="A1" s="39" t="s">
        <v>214</v>
      </c>
      <c r="B1" s="6" t="s">
        <v>7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33" t="str">
        <f>"- SOD"</f>
        <v>- SOD</v>
      </c>
      <c r="B2" s="32" t="s">
        <v>70</v>
      </c>
      <c r="C2" s="32">
        <v>0.65584880183400796</v>
      </c>
      <c r="D2" s="32">
        <v>0.15116934192092901</v>
      </c>
      <c r="E2" s="32">
        <v>2.2534994976606999E-2</v>
      </c>
      <c r="F2" s="32">
        <v>45</v>
      </c>
      <c r="G2" s="32">
        <v>100</v>
      </c>
    </row>
    <row r="3" spans="1:7" x14ac:dyDescent="0.2">
      <c r="A3" s="4" t="str">
        <f t="shared" ref="A3:A6" si="0">"- SOD"</f>
        <v>- SOD</v>
      </c>
      <c r="B3" s="5" t="s">
        <v>71</v>
      </c>
      <c r="C3" s="5">
        <v>0.15302629295472001</v>
      </c>
      <c r="D3" s="5">
        <v>8.3158863210370901E-2</v>
      </c>
      <c r="E3" s="5">
        <v>1.23965914046664E-2</v>
      </c>
      <c r="F3" s="5">
        <v>45</v>
      </c>
      <c r="G3" s="5">
        <v>100</v>
      </c>
    </row>
    <row r="4" spans="1:7" x14ac:dyDescent="0.2">
      <c r="A4" s="4" t="str">
        <f t="shared" si="0"/>
        <v>- SOD</v>
      </c>
      <c r="B4" s="5" t="s">
        <v>72</v>
      </c>
      <c r="C4" s="5">
        <v>0.13995946149226701</v>
      </c>
      <c r="D4" s="5">
        <v>0.10603801965252101</v>
      </c>
      <c r="E4" s="5">
        <v>1.5807214676166401E-2</v>
      </c>
      <c r="F4" s="5">
        <v>45</v>
      </c>
      <c r="G4" s="5">
        <v>100</v>
      </c>
    </row>
    <row r="5" spans="1:7" x14ac:dyDescent="0.2">
      <c r="A5" s="4" t="str">
        <f t="shared" si="0"/>
        <v>- SOD</v>
      </c>
      <c r="B5" s="5" t="s">
        <v>73</v>
      </c>
      <c r="C5" s="5">
        <v>3.5027710865896199E-2</v>
      </c>
      <c r="D5" s="5">
        <v>2.5253181240267899E-2</v>
      </c>
      <c r="E5" s="5">
        <v>3.7645219934241002E-3</v>
      </c>
      <c r="F5" s="5">
        <v>45</v>
      </c>
      <c r="G5" s="5">
        <v>100</v>
      </c>
    </row>
    <row r="6" spans="1:7" x14ac:dyDescent="0.2">
      <c r="A6" s="4" t="str">
        <f t="shared" si="0"/>
        <v>- SOD</v>
      </c>
      <c r="B6" s="5" t="s">
        <v>178</v>
      </c>
      <c r="C6" s="4" t="s">
        <v>149</v>
      </c>
      <c r="D6" s="4" t="s">
        <v>149</v>
      </c>
      <c r="E6" s="4" t="s">
        <v>149</v>
      </c>
      <c r="F6" s="4" t="s">
        <v>149</v>
      </c>
      <c r="G6" s="4" t="s">
        <v>149</v>
      </c>
    </row>
    <row r="7" spans="1:7" x14ac:dyDescent="0.2">
      <c r="A7" s="4" t="str">
        <f t="shared" ref="A7:A11" si="1">"+ SOD"</f>
        <v>+ SOD</v>
      </c>
      <c r="B7" s="5" t="s">
        <v>70</v>
      </c>
      <c r="C7" s="5">
        <v>0.55318879832159695</v>
      </c>
      <c r="D7" s="5">
        <v>0.16206982487926799</v>
      </c>
      <c r="E7" s="5">
        <v>2.5951941845430999E-2</v>
      </c>
      <c r="F7" s="5">
        <v>39</v>
      </c>
      <c r="G7" s="5">
        <v>100</v>
      </c>
    </row>
    <row r="8" spans="1:7" x14ac:dyDescent="0.2">
      <c r="A8" s="4" t="str">
        <f t="shared" si="1"/>
        <v>+ SOD</v>
      </c>
      <c r="B8" s="5" t="s">
        <v>71</v>
      </c>
      <c r="C8" s="5">
        <v>0.26337350615362598</v>
      </c>
      <c r="D8" s="5">
        <v>0.128287998729741</v>
      </c>
      <c r="E8" s="5">
        <v>2.0542520391942699E-2</v>
      </c>
      <c r="F8" s="5">
        <v>39</v>
      </c>
      <c r="G8" s="5">
        <v>100</v>
      </c>
    </row>
    <row r="9" spans="1:7" x14ac:dyDescent="0.2">
      <c r="A9" s="4" t="str">
        <f t="shared" si="1"/>
        <v>+ SOD</v>
      </c>
      <c r="B9" s="5" t="s">
        <v>72</v>
      </c>
      <c r="C9" s="5">
        <v>0.100929537561064</v>
      </c>
      <c r="D9" s="5">
        <v>9.0796762226998701E-2</v>
      </c>
      <c r="E9" s="5">
        <v>1.4539117906888799E-2</v>
      </c>
      <c r="F9" s="5">
        <v>39</v>
      </c>
      <c r="G9" s="5">
        <v>100</v>
      </c>
    </row>
    <row r="10" spans="1:7" x14ac:dyDescent="0.2">
      <c r="A10" s="4" t="str">
        <f t="shared" si="1"/>
        <v>+ SOD</v>
      </c>
      <c r="B10" s="5" t="s">
        <v>73</v>
      </c>
      <c r="C10" s="5">
        <v>5.5567123252208701E-2</v>
      </c>
      <c r="D10" s="5">
        <v>5.6290147750378897E-2</v>
      </c>
      <c r="E10" s="5">
        <v>9.0136374366837496E-3</v>
      </c>
      <c r="F10" s="5">
        <v>39</v>
      </c>
      <c r="G10" s="5">
        <v>100</v>
      </c>
    </row>
    <row r="11" spans="1:7" x14ac:dyDescent="0.2">
      <c r="A11" s="4" t="str">
        <f t="shared" si="1"/>
        <v>+ SOD</v>
      </c>
      <c r="B11" s="5" t="s">
        <v>74</v>
      </c>
      <c r="C11" s="5">
        <v>1.7140675634418401E-2</v>
      </c>
      <c r="D11" s="5">
        <v>1.9605586029713601E-2</v>
      </c>
      <c r="E11" s="5">
        <v>3.1394062952048401E-3</v>
      </c>
      <c r="F11" s="5">
        <v>39</v>
      </c>
      <c r="G11" s="5">
        <v>100</v>
      </c>
    </row>
    <row r="13" spans="1:7" ht="18" x14ac:dyDescent="0.2">
      <c r="A13" s="1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9B50-DE76-3845-A6C4-F06A4208BE5F}">
  <dimension ref="A1:K52"/>
  <sheetViews>
    <sheetView topLeftCell="A31" workbookViewId="0">
      <selection activeCell="A52" sqref="A52"/>
    </sheetView>
  </sheetViews>
  <sheetFormatPr baseColWidth="10" defaultRowHeight="16" x14ac:dyDescent="0.2"/>
  <cols>
    <col min="1" max="1" width="27.6640625" customWidth="1"/>
    <col min="2" max="2" width="45.1640625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  <col min="8" max="11" width="10.83203125" style="2"/>
  </cols>
  <sheetData>
    <row r="1" spans="1:7" ht="17" thickBot="1" x14ac:dyDescent="0.25">
      <c r="A1" s="39" t="s">
        <v>214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33" t="str">
        <f>"- SOD"</f>
        <v>- SOD</v>
      </c>
      <c r="B2" s="32" t="s">
        <v>76</v>
      </c>
      <c r="C2" s="32">
        <v>0.17844713606024901</v>
      </c>
      <c r="D2" s="32">
        <v>0.21199396464439599</v>
      </c>
      <c r="E2" s="32">
        <v>3.1602194384303797E-2</v>
      </c>
      <c r="F2" s="32">
        <v>45</v>
      </c>
      <c r="G2" s="32">
        <v>97.7777777777778</v>
      </c>
    </row>
    <row r="3" spans="1:7" x14ac:dyDescent="0.2">
      <c r="A3" s="4" t="str">
        <f t="shared" ref="A3:A25" si="0">"- SOD"</f>
        <v>- SOD</v>
      </c>
      <c r="B3" s="5" t="s">
        <v>77</v>
      </c>
      <c r="C3" s="5">
        <v>7.0502660553974306E-2</v>
      </c>
      <c r="D3" s="5">
        <v>7.9633659518746E-2</v>
      </c>
      <c r="E3" s="5">
        <v>1.1871085065399301E-2</v>
      </c>
      <c r="F3" s="5">
        <v>45</v>
      </c>
      <c r="G3" s="5">
        <v>100</v>
      </c>
    </row>
    <row r="4" spans="1:7" x14ac:dyDescent="0.2">
      <c r="A4" s="4" t="str">
        <f t="shared" si="0"/>
        <v>- SOD</v>
      </c>
      <c r="B4" s="5" t="s">
        <v>78</v>
      </c>
      <c r="C4" s="5">
        <v>6.0747824482811998E-2</v>
      </c>
      <c r="D4" s="5">
        <v>4.8602124668588001E-2</v>
      </c>
      <c r="E4" s="5">
        <v>7.2451769739921403E-3</v>
      </c>
      <c r="F4" s="5">
        <v>45</v>
      </c>
      <c r="G4" s="5">
        <v>100</v>
      </c>
    </row>
    <row r="5" spans="1:7" x14ac:dyDescent="0.2">
      <c r="A5" s="4" t="str">
        <f t="shared" si="0"/>
        <v>- SOD</v>
      </c>
      <c r="B5" s="5" t="s">
        <v>79</v>
      </c>
      <c r="C5" s="5">
        <v>4.9728629521598497E-2</v>
      </c>
      <c r="D5" s="5">
        <v>3.9561546516799599E-2</v>
      </c>
      <c r="E5" s="5">
        <v>5.8974871537722604E-3</v>
      </c>
      <c r="F5" s="5">
        <v>45</v>
      </c>
      <c r="G5" s="5">
        <v>100</v>
      </c>
    </row>
    <row r="6" spans="1:7" x14ac:dyDescent="0.2">
      <c r="A6" s="4" t="str">
        <f t="shared" si="0"/>
        <v>- SOD</v>
      </c>
      <c r="B6" s="5" t="s">
        <v>81</v>
      </c>
      <c r="C6" s="5">
        <v>4.5351902970777597E-2</v>
      </c>
      <c r="D6" s="5">
        <v>7.4780599642245996E-2</v>
      </c>
      <c r="E6" s="5">
        <v>1.11476336132172E-2</v>
      </c>
      <c r="F6" s="5">
        <v>45</v>
      </c>
      <c r="G6" s="5">
        <v>91.1111111111111</v>
      </c>
    </row>
    <row r="7" spans="1:7" x14ac:dyDescent="0.2">
      <c r="A7" s="4" t="str">
        <f t="shared" si="0"/>
        <v>- SOD</v>
      </c>
      <c r="B7" s="5" t="s">
        <v>80</v>
      </c>
      <c r="C7" s="5">
        <v>4.05499999446726E-2</v>
      </c>
      <c r="D7" s="5">
        <v>0.12386538758339501</v>
      </c>
      <c r="E7" s="5">
        <v>1.8464761779721901E-2</v>
      </c>
      <c r="F7" s="5">
        <v>45</v>
      </c>
      <c r="G7" s="5">
        <v>97.7777777777778</v>
      </c>
    </row>
    <row r="8" spans="1:7" x14ac:dyDescent="0.2">
      <c r="A8" s="4" t="str">
        <f t="shared" si="0"/>
        <v>- SOD</v>
      </c>
      <c r="B8" s="5" t="s">
        <v>82</v>
      </c>
      <c r="C8" s="5">
        <v>3.6687767378331897E-2</v>
      </c>
      <c r="D8" s="5">
        <v>9.3917428642924003E-2</v>
      </c>
      <c r="E8" s="5">
        <v>1.4000383647837599E-2</v>
      </c>
      <c r="F8" s="5">
        <v>45</v>
      </c>
      <c r="G8" s="5">
        <v>55.5555555555556</v>
      </c>
    </row>
    <row r="9" spans="1:7" x14ac:dyDescent="0.2">
      <c r="A9" s="4" t="str">
        <f t="shared" si="0"/>
        <v>- SOD</v>
      </c>
      <c r="B9" s="5" t="s">
        <v>85</v>
      </c>
      <c r="C9" s="5">
        <v>3.6619687158252999E-2</v>
      </c>
      <c r="D9" s="5">
        <v>7.1464024385717098E-2</v>
      </c>
      <c r="E9" s="5">
        <v>1.0653227764811099E-2</v>
      </c>
      <c r="F9" s="5">
        <v>45</v>
      </c>
      <c r="G9" s="5">
        <v>82.2222222222222</v>
      </c>
    </row>
    <row r="10" spans="1:7" x14ac:dyDescent="0.2">
      <c r="A10" s="4" t="str">
        <f t="shared" si="0"/>
        <v>- SOD</v>
      </c>
      <c r="B10" s="5" t="s">
        <v>83</v>
      </c>
      <c r="C10" s="5">
        <v>3.56377251244719E-2</v>
      </c>
      <c r="D10" s="5">
        <v>2.7171365548576E-2</v>
      </c>
      <c r="E10" s="5">
        <v>4.0504680272074496E-3</v>
      </c>
      <c r="F10" s="5">
        <v>45</v>
      </c>
      <c r="G10" s="5">
        <v>97.7777777777778</v>
      </c>
    </row>
    <row r="11" spans="1:7" x14ac:dyDescent="0.2">
      <c r="A11" s="4" t="str">
        <f t="shared" si="0"/>
        <v>- SOD</v>
      </c>
      <c r="B11" s="5" t="s">
        <v>84</v>
      </c>
      <c r="C11" s="5">
        <v>3.4202514609336002E-2</v>
      </c>
      <c r="D11" s="5">
        <v>3.5017778597238897E-2</v>
      </c>
      <c r="E11" s="5">
        <v>5.2201422242975698E-3</v>
      </c>
      <c r="F11" s="5">
        <v>45</v>
      </c>
      <c r="G11" s="5">
        <v>100</v>
      </c>
    </row>
    <row r="12" spans="1:7" x14ac:dyDescent="0.2">
      <c r="A12" s="4" t="str">
        <f t="shared" si="0"/>
        <v>- SOD</v>
      </c>
      <c r="B12" s="5" t="s">
        <v>86</v>
      </c>
      <c r="C12" s="5">
        <v>2.6654915831246101E-2</v>
      </c>
      <c r="D12" s="5">
        <v>2.55939498410062E-2</v>
      </c>
      <c r="E12" s="5">
        <v>3.8153207771473201E-3</v>
      </c>
      <c r="F12" s="5">
        <v>45</v>
      </c>
      <c r="G12" s="5">
        <v>100</v>
      </c>
    </row>
    <row r="13" spans="1:7" x14ac:dyDescent="0.2">
      <c r="A13" s="4" t="str">
        <f t="shared" si="0"/>
        <v>- SOD</v>
      </c>
      <c r="B13" s="5" t="s">
        <v>178</v>
      </c>
      <c r="C13" s="4" t="s">
        <v>149</v>
      </c>
      <c r="D13" s="4" t="s">
        <v>149</v>
      </c>
      <c r="E13" s="4" t="s">
        <v>149</v>
      </c>
      <c r="F13" s="4" t="s">
        <v>149</v>
      </c>
      <c r="G13" s="4" t="s">
        <v>149</v>
      </c>
    </row>
    <row r="14" spans="1:7" x14ac:dyDescent="0.2">
      <c r="A14" s="4" t="str">
        <f t="shared" si="0"/>
        <v>- SOD</v>
      </c>
      <c r="B14" s="5" t="s">
        <v>87</v>
      </c>
      <c r="C14" s="5">
        <v>2.2835638278336099E-2</v>
      </c>
      <c r="D14" s="5">
        <v>4.4353892577908498E-2</v>
      </c>
      <c r="E14" s="5">
        <v>6.6118879247284504E-3</v>
      </c>
      <c r="F14" s="5">
        <v>45</v>
      </c>
      <c r="G14" s="5">
        <v>80</v>
      </c>
    </row>
    <row r="15" spans="1:7" x14ac:dyDescent="0.2">
      <c r="A15" s="4" t="str">
        <f t="shared" si="0"/>
        <v>- SOD</v>
      </c>
      <c r="B15" s="5" t="s">
        <v>95</v>
      </c>
      <c r="C15" s="5">
        <v>1.7318108423328201E-2</v>
      </c>
      <c r="D15" s="5">
        <v>0.116008218672564</v>
      </c>
      <c r="E15" s="5">
        <v>1.7293484193367601E-2</v>
      </c>
      <c r="F15" s="5">
        <v>45</v>
      </c>
      <c r="G15" s="5">
        <v>8.8888888888888893</v>
      </c>
    </row>
    <row r="16" spans="1:7" x14ac:dyDescent="0.2">
      <c r="A16" s="4" t="str">
        <f t="shared" si="0"/>
        <v>- SOD</v>
      </c>
      <c r="B16" s="5" t="s">
        <v>89</v>
      </c>
      <c r="C16" s="5">
        <v>1.47596966699914E-2</v>
      </c>
      <c r="D16" s="5">
        <v>3.5935728501033999E-2</v>
      </c>
      <c r="E16" s="5">
        <v>5.35698211661924E-3</v>
      </c>
      <c r="F16" s="5">
        <v>45</v>
      </c>
      <c r="G16" s="5">
        <v>48.8888888888889</v>
      </c>
    </row>
    <row r="17" spans="1:7" x14ac:dyDescent="0.2">
      <c r="A17" s="4" t="str">
        <f t="shared" si="0"/>
        <v>- SOD</v>
      </c>
      <c r="B17" s="5" t="s">
        <v>88</v>
      </c>
      <c r="C17" s="5">
        <v>1.4586842995390399E-2</v>
      </c>
      <c r="D17" s="5">
        <v>2.6594216221867101E-2</v>
      </c>
      <c r="E17" s="5">
        <v>3.9644316853615002E-3</v>
      </c>
      <c r="F17" s="5">
        <v>45</v>
      </c>
      <c r="G17" s="5">
        <v>100</v>
      </c>
    </row>
    <row r="18" spans="1:7" x14ac:dyDescent="0.2">
      <c r="A18" s="4" t="str">
        <f t="shared" si="0"/>
        <v>- SOD</v>
      </c>
      <c r="B18" s="5" t="s">
        <v>90</v>
      </c>
      <c r="C18" s="5">
        <v>1.44488545806112E-2</v>
      </c>
      <c r="D18" s="5">
        <v>1.3929001439162699E-2</v>
      </c>
      <c r="E18" s="5">
        <v>2.0764129384440201E-3</v>
      </c>
      <c r="F18" s="5">
        <v>45</v>
      </c>
      <c r="G18" s="5">
        <v>100</v>
      </c>
    </row>
    <row r="19" spans="1:7" x14ac:dyDescent="0.2">
      <c r="A19" s="4" t="str">
        <f t="shared" si="0"/>
        <v>- SOD</v>
      </c>
      <c r="B19" s="5" t="s">
        <v>93</v>
      </c>
      <c r="C19" s="5">
        <v>1.3374653670984501E-2</v>
      </c>
      <c r="D19" s="5">
        <v>2.40195622104372E-2</v>
      </c>
      <c r="E19" s="5">
        <v>3.58062492615484E-3</v>
      </c>
      <c r="F19" s="5">
        <v>45</v>
      </c>
      <c r="G19" s="5">
        <v>97.7777777777778</v>
      </c>
    </row>
    <row r="20" spans="1:7" x14ac:dyDescent="0.2">
      <c r="A20" s="4" t="str">
        <f t="shared" si="0"/>
        <v>- SOD</v>
      </c>
      <c r="B20" s="5" t="s">
        <v>91</v>
      </c>
      <c r="C20" s="5">
        <v>1.26941399671385E-2</v>
      </c>
      <c r="D20" s="5">
        <v>2.6811680670975599E-2</v>
      </c>
      <c r="E20" s="5">
        <v>3.9968493714212299E-3</v>
      </c>
      <c r="F20" s="5">
        <v>45</v>
      </c>
      <c r="G20" s="5">
        <v>80</v>
      </c>
    </row>
    <row r="21" spans="1:7" x14ac:dyDescent="0.2">
      <c r="A21" s="4" t="str">
        <f t="shared" si="0"/>
        <v>- SOD</v>
      </c>
      <c r="B21" s="5" t="s">
        <v>92</v>
      </c>
      <c r="C21" s="5">
        <v>1.20739631260477E-2</v>
      </c>
      <c r="D21" s="5">
        <v>1.25617267181497E-2</v>
      </c>
      <c r="E21" s="5">
        <v>1.8725916571038701E-3</v>
      </c>
      <c r="F21" s="5">
        <v>45</v>
      </c>
      <c r="G21" s="5">
        <v>97.7777777777778</v>
      </c>
    </row>
    <row r="22" spans="1:7" x14ac:dyDescent="0.2">
      <c r="A22" s="4" t="str">
        <f t="shared" si="0"/>
        <v>- SOD</v>
      </c>
      <c r="B22" s="5" t="s">
        <v>99</v>
      </c>
      <c r="C22" s="5">
        <v>1.0211520530128901E-2</v>
      </c>
      <c r="D22" s="5">
        <v>1.9680691735028899E-2</v>
      </c>
      <c r="E22" s="5">
        <v>2.9338243042495299E-3</v>
      </c>
      <c r="F22" s="5">
        <v>45</v>
      </c>
      <c r="G22" s="5">
        <v>62.2222222222222</v>
      </c>
    </row>
    <row r="23" spans="1:7" x14ac:dyDescent="0.2">
      <c r="A23" s="4" t="str">
        <f t="shared" si="0"/>
        <v>- SOD</v>
      </c>
      <c r="B23" s="5" t="s">
        <v>94</v>
      </c>
      <c r="C23" s="5">
        <v>1.01549784931353E-2</v>
      </c>
      <c r="D23" s="5">
        <v>3.6198967205838199E-2</v>
      </c>
      <c r="E23" s="5">
        <v>5.3962234258359901E-3</v>
      </c>
      <c r="F23" s="5">
        <v>45</v>
      </c>
      <c r="G23" s="5">
        <v>42.2222222222222</v>
      </c>
    </row>
    <row r="24" spans="1:7" x14ac:dyDescent="0.2">
      <c r="A24" s="4" t="str">
        <f t="shared" si="0"/>
        <v>- SOD</v>
      </c>
      <c r="B24" s="5" t="s">
        <v>97</v>
      </c>
      <c r="C24" s="5">
        <v>9.3175930775694707E-3</v>
      </c>
      <c r="D24" s="5">
        <v>1.04630859139277E-2</v>
      </c>
      <c r="E24" s="5">
        <v>1.55974475719752E-3</v>
      </c>
      <c r="F24" s="5">
        <v>45</v>
      </c>
      <c r="G24" s="5">
        <v>95.5555555555556</v>
      </c>
    </row>
    <row r="25" spans="1:7" x14ac:dyDescent="0.2">
      <c r="A25" s="4" t="str">
        <f t="shared" si="0"/>
        <v>- SOD</v>
      </c>
      <c r="B25" s="5" t="s">
        <v>96</v>
      </c>
      <c r="C25" s="5">
        <v>9.2007484111793093E-3</v>
      </c>
      <c r="D25" s="5">
        <v>1.5139199903033401E-2</v>
      </c>
      <c r="E25" s="5">
        <v>2.2568186738760598E-3</v>
      </c>
      <c r="F25" s="5">
        <v>45</v>
      </c>
      <c r="G25" s="5">
        <v>82.2222222222222</v>
      </c>
    </row>
    <row r="26" spans="1:7" x14ac:dyDescent="0.2">
      <c r="A26" s="5" t="str">
        <f>"+ SOD"</f>
        <v>+ SOD</v>
      </c>
      <c r="B26" s="5" t="s">
        <v>76</v>
      </c>
      <c r="C26" s="5">
        <v>9.6036865488697706E-2</v>
      </c>
      <c r="D26" s="5">
        <v>0.17795450408441801</v>
      </c>
      <c r="E26" s="5">
        <v>2.8495526200337701E-2</v>
      </c>
      <c r="F26" s="5">
        <v>39</v>
      </c>
      <c r="G26" s="5">
        <v>92.307692307692307</v>
      </c>
    </row>
    <row r="27" spans="1:7" x14ac:dyDescent="0.2">
      <c r="A27" s="5" t="str">
        <f t="shared" ref="A27:A50" si="1">"+ SOD"</f>
        <v>+ SOD</v>
      </c>
      <c r="B27" s="5" t="s">
        <v>79</v>
      </c>
      <c r="C27" s="5">
        <v>7.7368880744155002E-2</v>
      </c>
      <c r="D27" s="5">
        <v>8.9392797677890698E-2</v>
      </c>
      <c r="E27" s="5">
        <v>1.4314303655632301E-2</v>
      </c>
      <c r="F27" s="5">
        <v>39</v>
      </c>
      <c r="G27" s="5">
        <v>100</v>
      </c>
    </row>
    <row r="28" spans="1:7" x14ac:dyDescent="0.2">
      <c r="A28" s="5" t="str">
        <f t="shared" si="1"/>
        <v>+ SOD</v>
      </c>
      <c r="B28" s="5" t="s">
        <v>81</v>
      </c>
      <c r="C28" s="5">
        <v>6.0464538565688397E-2</v>
      </c>
      <c r="D28" s="5">
        <v>0.124309227670554</v>
      </c>
      <c r="E28" s="5">
        <v>1.99054071278221E-2</v>
      </c>
      <c r="F28" s="5">
        <v>39</v>
      </c>
      <c r="G28" s="5">
        <v>92.307692307692307</v>
      </c>
    </row>
    <row r="29" spans="1:7" x14ac:dyDescent="0.2">
      <c r="A29" s="5" t="str">
        <f t="shared" si="1"/>
        <v>+ SOD</v>
      </c>
      <c r="B29" s="5" t="s">
        <v>83</v>
      </c>
      <c r="C29" s="5">
        <v>5.8722670731801097E-2</v>
      </c>
      <c r="D29" s="5">
        <v>5.8572565791408002E-2</v>
      </c>
      <c r="E29" s="5">
        <v>9.3791168238051698E-3</v>
      </c>
      <c r="F29" s="5">
        <v>39</v>
      </c>
      <c r="G29" s="5">
        <v>100</v>
      </c>
    </row>
    <row r="30" spans="1:7" x14ac:dyDescent="0.2">
      <c r="A30" s="5" t="str">
        <f t="shared" si="1"/>
        <v>+ SOD</v>
      </c>
      <c r="B30" s="5" t="s">
        <v>78</v>
      </c>
      <c r="C30" s="5">
        <v>4.8340032025616902E-2</v>
      </c>
      <c r="D30" s="5">
        <v>4.9453949852335297E-2</v>
      </c>
      <c r="E30" s="5">
        <v>7.9189696882238092E-3</v>
      </c>
      <c r="F30" s="5">
        <v>39</v>
      </c>
      <c r="G30" s="5">
        <v>97.435897435897402</v>
      </c>
    </row>
    <row r="31" spans="1:7" x14ac:dyDescent="0.2">
      <c r="A31" s="5" t="str">
        <f t="shared" si="1"/>
        <v>+ SOD</v>
      </c>
      <c r="B31" s="5" t="s">
        <v>77</v>
      </c>
      <c r="C31" s="5">
        <v>4.1799382589206402E-2</v>
      </c>
      <c r="D31" s="5">
        <v>4.3059607261481801E-2</v>
      </c>
      <c r="E31" s="5">
        <v>6.8950554143532104E-3</v>
      </c>
      <c r="F31" s="5">
        <v>39</v>
      </c>
      <c r="G31" s="5">
        <v>97.435897435897402</v>
      </c>
    </row>
    <row r="32" spans="1:7" x14ac:dyDescent="0.2">
      <c r="A32" s="5" t="str">
        <f t="shared" si="1"/>
        <v>+ SOD</v>
      </c>
      <c r="B32" s="5" t="s">
        <v>84</v>
      </c>
      <c r="C32" s="5">
        <v>3.9157283111190599E-2</v>
      </c>
      <c r="D32" s="5">
        <v>5.0400030849542803E-2</v>
      </c>
      <c r="E32" s="5">
        <v>8.0704638916567206E-3</v>
      </c>
      <c r="F32" s="5">
        <v>39</v>
      </c>
      <c r="G32" s="5">
        <v>100</v>
      </c>
    </row>
    <row r="33" spans="1:7" x14ac:dyDescent="0.2">
      <c r="A33" s="5" t="str">
        <f t="shared" si="1"/>
        <v>+ SOD</v>
      </c>
      <c r="B33" s="5" t="s">
        <v>86</v>
      </c>
      <c r="C33" s="5">
        <v>2.3200960892375899E-2</v>
      </c>
      <c r="D33" s="5">
        <v>2.2318518305845102E-2</v>
      </c>
      <c r="E33" s="5">
        <v>3.5738231319800201E-3</v>
      </c>
      <c r="F33" s="5">
        <v>39</v>
      </c>
      <c r="G33" s="5">
        <v>100</v>
      </c>
    </row>
    <row r="34" spans="1:7" x14ac:dyDescent="0.2">
      <c r="A34" s="5" t="str">
        <f t="shared" si="1"/>
        <v>+ SOD</v>
      </c>
      <c r="B34" s="5" t="s">
        <v>99</v>
      </c>
      <c r="C34" s="5">
        <v>2.2744174069369499E-2</v>
      </c>
      <c r="D34" s="5">
        <v>5.9142315426443402E-2</v>
      </c>
      <c r="E34" s="5">
        <v>9.4703497809944994E-3</v>
      </c>
      <c r="F34" s="5">
        <v>39</v>
      </c>
      <c r="G34" s="5">
        <v>48.717948717948701</v>
      </c>
    </row>
    <row r="35" spans="1:7" x14ac:dyDescent="0.2">
      <c r="A35" s="5" t="str">
        <f t="shared" si="1"/>
        <v>+ SOD</v>
      </c>
      <c r="B35" s="5" t="s">
        <v>92</v>
      </c>
      <c r="C35" s="5">
        <v>1.9649346051666201E-2</v>
      </c>
      <c r="D35" s="5">
        <v>2.3511883971000399E-2</v>
      </c>
      <c r="E35" s="5">
        <v>3.7649145727557099E-3</v>
      </c>
      <c r="F35" s="5">
        <v>39</v>
      </c>
      <c r="G35" s="5">
        <v>100</v>
      </c>
    </row>
    <row r="36" spans="1:7" x14ac:dyDescent="0.2">
      <c r="A36" s="5" t="str">
        <f t="shared" si="1"/>
        <v>+ SOD</v>
      </c>
      <c r="B36" s="5" t="s">
        <v>88</v>
      </c>
      <c r="C36" s="5">
        <v>1.9572626246444E-2</v>
      </c>
      <c r="D36" s="5">
        <v>6.5084573392659703E-2</v>
      </c>
      <c r="E36" s="5">
        <v>1.0421872578558301E-2</v>
      </c>
      <c r="F36" s="5">
        <v>39</v>
      </c>
      <c r="G36" s="5">
        <v>74.358974358974393</v>
      </c>
    </row>
    <row r="37" spans="1:7" x14ac:dyDescent="0.2">
      <c r="A37" s="5" t="str">
        <f t="shared" si="1"/>
        <v>+ SOD</v>
      </c>
      <c r="B37" s="5" t="s">
        <v>90</v>
      </c>
      <c r="C37" s="5">
        <v>1.8889681500872099E-2</v>
      </c>
      <c r="D37" s="5">
        <v>2.2931306277703001E-2</v>
      </c>
      <c r="E37" s="5">
        <v>3.67194773858759E-3</v>
      </c>
      <c r="F37" s="5">
        <v>39</v>
      </c>
      <c r="G37" s="5">
        <v>100</v>
      </c>
    </row>
    <row r="38" spans="1:7" x14ac:dyDescent="0.2">
      <c r="A38" s="5" t="str">
        <f t="shared" si="1"/>
        <v>+ SOD</v>
      </c>
      <c r="B38" s="5" t="s">
        <v>97</v>
      </c>
      <c r="C38" s="5">
        <v>1.80325411283862E-2</v>
      </c>
      <c r="D38" s="5">
        <v>2.8023979380861E-2</v>
      </c>
      <c r="E38" s="5">
        <v>4.4874280805290998E-3</v>
      </c>
      <c r="F38" s="5">
        <v>39</v>
      </c>
      <c r="G38" s="5">
        <v>92.307692307692307</v>
      </c>
    </row>
    <row r="39" spans="1:7" x14ac:dyDescent="0.2">
      <c r="A39" s="5" t="str">
        <f t="shared" si="1"/>
        <v>+ SOD</v>
      </c>
      <c r="B39" s="5" t="s">
        <v>85</v>
      </c>
      <c r="C39" s="5">
        <v>1.73496730926107E-2</v>
      </c>
      <c r="D39" s="5">
        <v>5.2046075395330897E-2</v>
      </c>
      <c r="E39" s="5">
        <v>8.3340419658547108E-3</v>
      </c>
      <c r="F39" s="5">
        <v>39</v>
      </c>
      <c r="G39" s="5">
        <v>64.102564102564102</v>
      </c>
    </row>
    <row r="40" spans="1:7" x14ac:dyDescent="0.2">
      <c r="A40" s="5" t="str">
        <f t="shared" si="1"/>
        <v>+ SOD</v>
      </c>
      <c r="B40" s="5" t="s">
        <v>82</v>
      </c>
      <c r="C40" s="5">
        <v>1.6706716329794501E-2</v>
      </c>
      <c r="D40" s="5">
        <v>5.5245653668747001E-2</v>
      </c>
      <c r="E40" s="5">
        <v>8.8463845277316905E-3</v>
      </c>
      <c r="F40" s="5">
        <v>39</v>
      </c>
      <c r="G40" s="5">
        <v>48.717948717948701</v>
      </c>
    </row>
    <row r="41" spans="1:7" x14ac:dyDescent="0.2">
      <c r="A41" s="5" t="str">
        <f t="shared" si="1"/>
        <v>+ SOD</v>
      </c>
      <c r="B41" s="5" t="s">
        <v>94</v>
      </c>
      <c r="C41" s="5">
        <v>1.6159293693573499E-2</v>
      </c>
      <c r="D41" s="5">
        <v>7.2804753529397304E-2</v>
      </c>
      <c r="E41" s="5">
        <v>1.1658090770896801E-2</v>
      </c>
      <c r="F41" s="5">
        <v>39</v>
      </c>
      <c r="G41" s="5">
        <v>23.076923076923102</v>
      </c>
    </row>
    <row r="42" spans="1:7" x14ac:dyDescent="0.2">
      <c r="A42" s="5" t="str">
        <f t="shared" si="1"/>
        <v>+ SOD</v>
      </c>
      <c r="B42" s="5" t="s">
        <v>100</v>
      </c>
      <c r="C42" s="5">
        <v>1.49844638039946E-2</v>
      </c>
      <c r="D42" s="5">
        <v>2.1484578436198401E-2</v>
      </c>
      <c r="E42" s="5">
        <v>3.4402858802690299E-3</v>
      </c>
      <c r="F42" s="5">
        <v>39</v>
      </c>
      <c r="G42" s="5">
        <v>100</v>
      </c>
    </row>
    <row r="43" spans="1:7" x14ac:dyDescent="0.2">
      <c r="A43" s="5" t="str">
        <f t="shared" si="1"/>
        <v>+ SOD</v>
      </c>
      <c r="B43" s="5" t="s">
        <v>80</v>
      </c>
      <c r="C43" s="5">
        <v>1.27602486979828E-2</v>
      </c>
      <c r="D43" s="5">
        <v>1.24623104661699E-2</v>
      </c>
      <c r="E43" s="5">
        <v>1.9955667670935998E-3</v>
      </c>
      <c r="F43" s="5">
        <v>39</v>
      </c>
      <c r="G43" s="5">
        <v>97.435897435897402</v>
      </c>
    </row>
    <row r="44" spans="1:7" x14ac:dyDescent="0.2">
      <c r="A44" s="5" t="str">
        <f t="shared" si="1"/>
        <v>+ SOD</v>
      </c>
      <c r="B44" s="5" t="s">
        <v>96</v>
      </c>
      <c r="C44" s="5">
        <v>1.25728570933057E-2</v>
      </c>
      <c r="D44" s="5">
        <v>1.9418541432897202E-2</v>
      </c>
      <c r="E44" s="5">
        <v>3.1094551892374201E-3</v>
      </c>
      <c r="F44" s="5">
        <v>39</v>
      </c>
      <c r="G44" s="5">
        <v>76.923076923076906</v>
      </c>
    </row>
    <row r="45" spans="1:7" x14ac:dyDescent="0.2">
      <c r="A45" s="5" t="str">
        <f t="shared" si="1"/>
        <v>+ SOD</v>
      </c>
      <c r="B45" s="5" t="s">
        <v>106</v>
      </c>
      <c r="C45" s="5">
        <v>1.2132460450806201E-2</v>
      </c>
      <c r="D45" s="5">
        <v>4.3433811414827703E-2</v>
      </c>
      <c r="E45" s="5">
        <v>6.9549760345746703E-3</v>
      </c>
      <c r="F45" s="5">
        <v>39</v>
      </c>
      <c r="G45" s="5">
        <v>28.205128205128201</v>
      </c>
    </row>
    <row r="46" spans="1:7" x14ac:dyDescent="0.2">
      <c r="A46" s="5" t="str">
        <f t="shared" si="1"/>
        <v>+ SOD</v>
      </c>
      <c r="B46" s="5" t="s">
        <v>93</v>
      </c>
      <c r="C46" s="5">
        <v>1.20961273616274E-2</v>
      </c>
      <c r="D46" s="5">
        <v>2.0468152947784701E-2</v>
      </c>
      <c r="E46" s="5">
        <v>3.2775275433289102E-3</v>
      </c>
      <c r="F46" s="5">
        <v>39</v>
      </c>
      <c r="G46" s="5">
        <v>74.358974358974393</v>
      </c>
    </row>
    <row r="47" spans="1:7" x14ac:dyDescent="0.2">
      <c r="A47" s="5" t="str">
        <f t="shared" si="1"/>
        <v>+ SOD</v>
      </c>
      <c r="B47" s="5" t="s">
        <v>101</v>
      </c>
      <c r="C47" s="5">
        <v>1.1957254879902001E-2</v>
      </c>
      <c r="D47" s="5">
        <v>2.2859164648947099E-2</v>
      </c>
      <c r="E47" s="5">
        <v>3.6603958327624101E-3</v>
      </c>
      <c r="F47" s="5">
        <v>39</v>
      </c>
      <c r="G47" s="5">
        <v>82.051282051282001</v>
      </c>
    </row>
    <row r="48" spans="1:7" x14ac:dyDescent="0.2">
      <c r="A48" s="5" t="str">
        <f t="shared" si="1"/>
        <v>+ SOD</v>
      </c>
      <c r="B48" s="5" t="s">
        <v>102</v>
      </c>
      <c r="C48" s="5">
        <v>1.09077824338855E-2</v>
      </c>
      <c r="D48" s="5">
        <v>2.0565078764180102E-2</v>
      </c>
      <c r="E48" s="5">
        <v>3.2930480953643699E-3</v>
      </c>
      <c r="F48" s="5">
        <v>39</v>
      </c>
      <c r="G48" s="5">
        <v>89.743589743589794</v>
      </c>
    </row>
    <row r="49" spans="1:7" x14ac:dyDescent="0.2">
      <c r="A49" s="5" t="str">
        <f t="shared" si="1"/>
        <v>+ SOD</v>
      </c>
      <c r="B49" s="5" t="s">
        <v>87</v>
      </c>
      <c r="C49" s="5">
        <v>8.9433621288419092E-3</v>
      </c>
      <c r="D49" s="5">
        <v>2.21308016849203E-2</v>
      </c>
      <c r="E49" s="5">
        <v>3.5437644160327998E-3</v>
      </c>
      <c r="F49" s="5">
        <v>39</v>
      </c>
      <c r="G49" s="5">
        <v>43.589743589743598</v>
      </c>
    </row>
    <row r="50" spans="1:7" x14ac:dyDescent="0.2">
      <c r="A50" s="5" t="str">
        <f t="shared" si="1"/>
        <v>+ SOD</v>
      </c>
      <c r="B50" s="5" t="s">
        <v>178</v>
      </c>
      <c r="C50" s="4" t="s">
        <v>149</v>
      </c>
      <c r="D50" s="4" t="s">
        <v>149</v>
      </c>
      <c r="E50" s="4" t="s">
        <v>149</v>
      </c>
      <c r="F50" s="4" t="s">
        <v>149</v>
      </c>
      <c r="G50" s="4" t="s">
        <v>149</v>
      </c>
    </row>
    <row r="52" spans="1:7" ht="18" x14ac:dyDescent="0.2">
      <c r="A52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7425-F5EC-214A-8C5A-8B269E7DB512}">
  <dimension ref="A1:G25"/>
  <sheetViews>
    <sheetView workbookViewId="0">
      <selection activeCell="A25" sqref="A25"/>
    </sheetView>
  </sheetViews>
  <sheetFormatPr baseColWidth="10" defaultRowHeight="16" x14ac:dyDescent="0.2"/>
  <cols>
    <col min="1" max="1" width="28" style="1" customWidth="1"/>
    <col min="2" max="2" width="18" style="1" bestFit="1" customWidth="1"/>
    <col min="3" max="3" width="27.83203125" style="1" bestFit="1" customWidth="1"/>
    <col min="4" max="4" width="20.1640625" style="1" bestFit="1" customWidth="1"/>
    <col min="5" max="5" width="16" style="1" bestFit="1" customWidth="1"/>
    <col min="6" max="6" width="13.5" style="1" bestFit="1" customWidth="1"/>
    <col min="7" max="7" width="20.83203125" style="1" bestFit="1" customWidth="1"/>
    <col min="8" max="16384" width="10.83203125" style="1"/>
  </cols>
  <sheetData>
    <row r="1" spans="1:7" ht="17" thickBot="1" x14ac:dyDescent="0.25">
      <c r="A1" s="39" t="s">
        <v>214</v>
      </c>
      <c r="B1" s="8" t="s">
        <v>18</v>
      </c>
      <c r="C1" s="8" t="s">
        <v>173</v>
      </c>
      <c r="D1" s="8" t="s">
        <v>174</v>
      </c>
      <c r="E1" s="8" t="s">
        <v>175</v>
      </c>
      <c r="F1" s="8" t="s">
        <v>176</v>
      </c>
      <c r="G1" s="8" t="s">
        <v>177</v>
      </c>
    </row>
    <row r="2" spans="1:7" x14ac:dyDescent="0.2">
      <c r="A2" s="5" t="str">
        <f>"- SOD"</f>
        <v>- SOD</v>
      </c>
      <c r="B2" s="5" t="s">
        <v>127</v>
      </c>
      <c r="C2" s="5">
        <v>0.36274835947728301</v>
      </c>
      <c r="D2" s="5">
        <v>0.338460254721341</v>
      </c>
      <c r="E2" s="5">
        <v>5.4905503517175797E-2</v>
      </c>
      <c r="F2" s="5">
        <v>38</v>
      </c>
      <c r="G2" s="5">
        <v>81.578947368420998</v>
      </c>
    </row>
    <row r="3" spans="1:7" x14ac:dyDescent="0.2">
      <c r="A3" s="5" t="str">
        <f t="shared" ref="A3:A12" si="0">"- SOD"</f>
        <v>- SOD</v>
      </c>
      <c r="B3" s="5" t="s">
        <v>128</v>
      </c>
      <c r="C3" s="5">
        <v>0.14623309917702501</v>
      </c>
      <c r="D3" s="5">
        <v>0.21208790521572299</v>
      </c>
      <c r="E3" s="5">
        <v>3.4405201388741098E-2</v>
      </c>
      <c r="F3" s="5">
        <v>38</v>
      </c>
      <c r="G3" s="5">
        <v>65.789473684210506</v>
      </c>
    </row>
    <row r="4" spans="1:7" x14ac:dyDescent="0.2">
      <c r="A4" s="5" t="str">
        <f t="shared" si="0"/>
        <v>- SOD</v>
      </c>
      <c r="B4" s="5" t="s">
        <v>179</v>
      </c>
      <c r="C4" s="5">
        <v>0.119864792540196</v>
      </c>
      <c r="D4" s="5">
        <v>0.23970946024103801</v>
      </c>
      <c r="E4" s="5">
        <v>3.8886009298789201E-2</v>
      </c>
      <c r="F4" s="5">
        <v>38</v>
      </c>
      <c r="G4" s="5">
        <v>39.473684210526301</v>
      </c>
    </row>
    <row r="5" spans="1:7" x14ac:dyDescent="0.2">
      <c r="A5" s="5" t="str">
        <f t="shared" si="0"/>
        <v>- SOD</v>
      </c>
      <c r="B5" s="5" t="s">
        <v>131</v>
      </c>
      <c r="C5" s="5">
        <v>0.11671383391739799</v>
      </c>
      <c r="D5" s="5">
        <v>0.21555718744447799</v>
      </c>
      <c r="E5" s="5">
        <v>3.4967993282193403E-2</v>
      </c>
      <c r="F5" s="5">
        <v>38</v>
      </c>
      <c r="G5" s="5">
        <v>36.842105263157897</v>
      </c>
    </row>
    <row r="6" spans="1:7" x14ac:dyDescent="0.2">
      <c r="A6" s="5" t="str">
        <f t="shared" si="0"/>
        <v>- SOD</v>
      </c>
      <c r="B6" s="5" t="s">
        <v>130</v>
      </c>
      <c r="C6" s="5">
        <v>6.4227607989220906E-2</v>
      </c>
      <c r="D6" s="5">
        <v>0.19304925426264699</v>
      </c>
      <c r="E6" s="5">
        <v>3.1316724374720599E-2</v>
      </c>
      <c r="F6" s="5">
        <v>38</v>
      </c>
      <c r="G6" s="5">
        <v>42.105263157894697</v>
      </c>
    </row>
    <row r="7" spans="1:7" x14ac:dyDescent="0.2">
      <c r="A7" s="5" t="str">
        <f t="shared" si="0"/>
        <v>- SOD</v>
      </c>
      <c r="B7" s="5" t="s">
        <v>133</v>
      </c>
      <c r="C7" s="5">
        <v>5.2860345863115797E-2</v>
      </c>
      <c r="D7" s="5">
        <v>0.18735504059067501</v>
      </c>
      <c r="E7" s="5">
        <v>3.0393000940631101E-2</v>
      </c>
      <c r="F7" s="5">
        <v>38</v>
      </c>
      <c r="G7" s="5">
        <v>21.052631578947398</v>
      </c>
    </row>
    <row r="8" spans="1:7" x14ac:dyDescent="0.2">
      <c r="A8" s="5" t="str">
        <f t="shared" si="0"/>
        <v>- SOD</v>
      </c>
      <c r="B8" s="5" t="s">
        <v>180</v>
      </c>
      <c r="C8" s="5">
        <v>4.2784522273974501E-2</v>
      </c>
      <c r="D8" s="5">
        <v>0.133974074609091</v>
      </c>
      <c r="E8" s="5">
        <v>2.1733464777765499E-2</v>
      </c>
      <c r="F8" s="5">
        <v>38</v>
      </c>
      <c r="G8" s="5">
        <v>15.789473684210501</v>
      </c>
    </row>
    <row r="9" spans="1:7" x14ac:dyDescent="0.2">
      <c r="A9" s="5" t="str">
        <f t="shared" si="0"/>
        <v>- SOD</v>
      </c>
      <c r="B9" s="5" t="s">
        <v>181</v>
      </c>
      <c r="C9" s="5">
        <v>4.1503814447605203E-2</v>
      </c>
      <c r="D9" s="5">
        <v>0.165652096283602</v>
      </c>
      <c r="E9" s="5">
        <v>2.6872318472415901E-2</v>
      </c>
      <c r="F9" s="5">
        <v>38</v>
      </c>
      <c r="G9" s="5">
        <v>7.8947368421052602</v>
      </c>
    </row>
    <row r="10" spans="1:7" x14ac:dyDescent="0.2">
      <c r="A10" s="5" t="str">
        <f t="shared" si="0"/>
        <v>- SOD</v>
      </c>
      <c r="B10" s="5" t="s">
        <v>129</v>
      </c>
      <c r="C10" s="5">
        <v>2.5227522970566098E-2</v>
      </c>
      <c r="D10" s="5">
        <v>0.127595595050401</v>
      </c>
      <c r="E10" s="5">
        <v>2.06987387591013E-2</v>
      </c>
      <c r="F10" s="5">
        <v>38</v>
      </c>
      <c r="G10" s="5">
        <v>7.8947368421052602</v>
      </c>
    </row>
    <row r="11" spans="1:7" x14ac:dyDescent="0.2">
      <c r="A11" s="5" t="str">
        <f t="shared" si="0"/>
        <v>- SOD</v>
      </c>
      <c r="B11" s="5" t="s">
        <v>132</v>
      </c>
      <c r="C11" s="5">
        <v>2.4400209220384599E-2</v>
      </c>
      <c r="D11" s="5">
        <v>6.3982399236626103E-2</v>
      </c>
      <c r="E11" s="5">
        <v>1.03793157315213E-2</v>
      </c>
      <c r="F11" s="5">
        <v>38</v>
      </c>
      <c r="G11" s="5">
        <v>26.315789473684202</v>
      </c>
    </row>
    <row r="12" spans="1:7" x14ac:dyDescent="0.2">
      <c r="A12" s="5" t="str">
        <f t="shared" si="0"/>
        <v>- SOD</v>
      </c>
      <c r="B12" s="5" t="s">
        <v>178</v>
      </c>
      <c r="C12" s="4" t="s">
        <v>149</v>
      </c>
      <c r="D12" s="4" t="s">
        <v>149</v>
      </c>
      <c r="E12" s="4" t="s">
        <v>149</v>
      </c>
      <c r="F12" s="4" t="s">
        <v>149</v>
      </c>
      <c r="G12" s="4" t="s">
        <v>149</v>
      </c>
    </row>
    <row r="13" spans="1:7" x14ac:dyDescent="0.2">
      <c r="A13" s="5" t="str">
        <f>"+ SOD"</f>
        <v>+ SOD</v>
      </c>
      <c r="B13" s="5" t="s">
        <v>127</v>
      </c>
      <c r="C13" s="5">
        <v>0.410526790884023</v>
      </c>
      <c r="D13" s="5">
        <v>0.368414675211646</v>
      </c>
      <c r="E13" s="5">
        <v>6.1402445868607602E-2</v>
      </c>
      <c r="F13" s="5">
        <v>36</v>
      </c>
      <c r="G13" s="5">
        <v>66.6666666666667</v>
      </c>
    </row>
    <row r="14" spans="1:7" x14ac:dyDescent="0.2">
      <c r="A14" s="5" t="str">
        <f t="shared" ref="A14:A23" si="1">"+ SOD"</f>
        <v>+ SOD</v>
      </c>
      <c r="B14" s="5" t="s">
        <v>133</v>
      </c>
      <c r="C14" s="5">
        <v>0.16334659209407101</v>
      </c>
      <c r="D14" s="5">
        <v>0.28789178054296699</v>
      </c>
      <c r="E14" s="5">
        <v>4.7981963423827802E-2</v>
      </c>
      <c r="F14" s="5">
        <v>36</v>
      </c>
      <c r="G14" s="5">
        <v>55.5555555555556</v>
      </c>
    </row>
    <row r="15" spans="1:7" x14ac:dyDescent="0.2">
      <c r="A15" s="5" t="str">
        <f t="shared" si="1"/>
        <v>+ SOD</v>
      </c>
      <c r="B15" s="5" t="s">
        <v>128</v>
      </c>
      <c r="C15" s="5">
        <v>0.120075741700313</v>
      </c>
      <c r="D15" s="5">
        <v>0.18740892235067799</v>
      </c>
      <c r="E15" s="5">
        <v>3.1234820391779699E-2</v>
      </c>
      <c r="F15" s="5">
        <v>36</v>
      </c>
      <c r="G15" s="5">
        <v>61.1111111111111</v>
      </c>
    </row>
    <row r="16" spans="1:7" x14ac:dyDescent="0.2">
      <c r="A16" s="5" t="str">
        <f t="shared" si="1"/>
        <v>+ SOD</v>
      </c>
      <c r="B16" s="5" t="s">
        <v>131</v>
      </c>
      <c r="C16" s="5">
        <v>6.5310784791337007E-2</v>
      </c>
      <c r="D16" s="5">
        <v>0.19232999312354301</v>
      </c>
      <c r="E16" s="5">
        <v>3.2054998853923801E-2</v>
      </c>
      <c r="F16" s="5">
        <v>36</v>
      </c>
      <c r="G16" s="5">
        <v>33.3333333333333</v>
      </c>
    </row>
    <row r="17" spans="1:7" x14ac:dyDescent="0.2">
      <c r="A17" s="5" t="str">
        <f t="shared" si="1"/>
        <v>+ SOD</v>
      </c>
      <c r="B17" s="5" t="s">
        <v>179</v>
      </c>
      <c r="C17" s="5">
        <v>6.3972920445064696E-2</v>
      </c>
      <c r="D17" s="5">
        <v>0.13400319651588699</v>
      </c>
      <c r="E17" s="5">
        <v>2.2333866085981102E-2</v>
      </c>
      <c r="F17" s="5">
        <v>36</v>
      </c>
      <c r="G17" s="5">
        <v>38.8888888888889</v>
      </c>
    </row>
    <row r="18" spans="1:7" x14ac:dyDescent="0.2">
      <c r="A18" s="5" t="str">
        <f t="shared" si="1"/>
        <v>+ SOD</v>
      </c>
      <c r="B18" s="5" t="s">
        <v>130</v>
      </c>
      <c r="C18" s="5">
        <v>6.0759040169546003E-2</v>
      </c>
      <c r="D18" s="5">
        <v>0.14435184938800399</v>
      </c>
      <c r="E18" s="5">
        <v>2.4058641564667398E-2</v>
      </c>
      <c r="F18" s="5">
        <v>36</v>
      </c>
      <c r="G18" s="5">
        <v>38.8888888888889</v>
      </c>
    </row>
    <row r="19" spans="1:7" x14ac:dyDescent="0.2">
      <c r="A19" s="5" t="str">
        <f t="shared" si="1"/>
        <v>+ SOD</v>
      </c>
      <c r="B19" s="5" t="s">
        <v>182</v>
      </c>
      <c r="C19" s="5">
        <v>3.3549343224757597E-2</v>
      </c>
      <c r="D19" s="5">
        <v>0.14022653272139399</v>
      </c>
      <c r="E19" s="5">
        <v>2.3371088786898999E-2</v>
      </c>
      <c r="F19" s="5">
        <v>36</v>
      </c>
      <c r="G19" s="5">
        <v>25</v>
      </c>
    </row>
    <row r="20" spans="1:7" x14ac:dyDescent="0.2">
      <c r="A20" s="5" t="str">
        <f t="shared" si="1"/>
        <v>+ SOD</v>
      </c>
      <c r="B20" s="5" t="s">
        <v>129</v>
      </c>
      <c r="C20" s="5">
        <v>2.9499833486265399E-2</v>
      </c>
      <c r="D20" s="5">
        <v>0.102583893443844</v>
      </c>
      <c r="E20" s="5">
        <v>1.7097315573973999E-2</v>
      </c>
      <c r="F20" s="5">
        <v>36</v>
      </c>
      <c r="G20" s="5">
        <v>11.1111111111111</v>
      </c>
    </row>
    <row r="21" spans="1:7" x14ac:dyDescent="0.2">
      <c r="A21" s="5" t="str">
        <f t="shared" si="1"/>
        <v>+ SOD</v>
      </c>
      <c r="B21" s="5" t="s">
        <v>181</v>
      </c>
      <c r="C21" s="5">
        <v>2.3336076277599999E-2</v>
      </c>
      <c r="D21" s="5">
        <v>0.100364337500757</v>
      </c>
      <c r="E21" s="5">
        <v>1.6727389583459502E-2</v>
      </c>
      <c r="F21" s="5">
        <v>36</v>
      </c>
      <c r="G21" s="5">
        <v>11.1111111111111</v>
      </c>
    </row>
    <row r="22" spans="1:7" x14ac:dyDescent="0.2">
      <c r="A22" s="5" t="str">
        <f t="shared" si="1"/>
        <v>+ SOD</v>
      </c>
      <c r="B22" s="5" t="s">
        <v>132</v>
      </c>
      <c r="C22" s="5">
        <v>1.65705964081314E-2</v>
      </c>
      <c r="D22" s="5">
        <v>4.69919005509042E-2</v>
      </c>
      <c r="E22" s="5">
        <v>7.8319834251507001E-3</v>
      </c>
      <c r="F22" s="5">
        <v>36</v>
      </c>
      <c r="G22" s="5">
        <v>38.8888888888889</v>
      </c>
    </row>
    <row r="23" spans="1:7" x14ac:dyDescent="0.2">
      <c r="A23" s="5" t="str">
        <f t="shared" si="1"/>
        <v>+ SOD</v>
      </c>
      <c r="B23" s="5" t="s">
        <v>178</v>
      </c>
      <c r="C23" s="5">
        <v>1.70265837433226E-3</v>
      </c>
      <c r="D23" s="5">
        <v>8.4896642551720598E-3</v>
      </c>
      <c r="E23" s="5">
        <v>1.41494404252868E-3</v>
      </c>
      <c r="F23" s="5">
        <v>36</v>
      </c>
      <c r="G23" s="5">
        <v>8.3333333333333304</v>
      </c>
    </row>
    <row r="25" spans="1:7" ht="18" x14ac:dyDescent="0.2">
      <c r="A25" s="1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87B2-BF44-0949-827F-EEBF48FBCBF9}">
  <dimension ref="A1:G48"/>
  <sheetViews>
    <sheetView topLeftCell="A29" workbookViewId="0">
      <selection activeCell="A48" sqref="A48"/>
    </sheetView>
  </sheetViews>
  <sheetFormatPr baseColWidth="10" defaultRowHeight="16" x14ac:dyDescent="0.2"/>
  <cols>
    <col min="1" max="1" width="28.5" style="1" customWidth="1"/>
    <col min="2" max="2" width="32.6640625" style="1" bestFit="1" customWidth="1"/>
    <col min="3" max="3" width="27.83203125" style="1" bestFit="1" customWidth="1"/>
    <col min="4" max="4" width="20.1640625" style="1" bestFit="1" customWidth="1"/>
    <col min="5" max="5" width="16" style="1" bestFit="1" customWidth="1"/>
    <col min="6" max="6" width="13.5" style="1" bestFit="1" customWidth="1"/>
    <col min="7" max="7" width="20.83203125" style="1" bestFit="1" customWidth="1"/>
  </cols>
  <sheetData>
    <row r="1" spans="1:7" ht="17" thickBot="1" x14ac:dyDescent="0.25">
      <c r="A1" s="39" t="s">
        <v>214</v>
      </c>
      <c r="B1" s="40" t="s">
        <v>134</v>
      </c>
      <c r="C1" s="40" t="s">
        <v>173</v>
      </c>
      <c r="D1" s="40" t="s">
        <v>174</v>
      </c>
      <c r="E1" s="40" t="s">
        <v>175</v>
      </c>
      <c r="F1" s="40" t="s">
        <v>176</v>
      </c>
      <c r="G1" s="40" t="s">
        <v>177</v>
      </c>
    </row>
    <row r="2" spans="1:7" x14ac:dyDescent="0.2">
      <c r="A2" s="5" t="str">
        <f>"- SOD"</f>
        <v>- SOD</v>
      </c>
      <c r="B2" s="5" t="s">
        <v>135</v>
      </c>
      <c r="C2" s="5">
        <v>0.13372398407926001</v>
      </c>
      <c r="D2" s="5">
        <v>0.26058326105089902</v>
      </c>
      <c r="E2" s="5">
        <v>4.2272186930565399E-2</v>
      </c>
      <c r="F2" s="5">
        <v>38</v>
      </c>
      <c r="G2" s="5">
        <v>42.105263157894697</v>
      </c>
    </row>
    <row r="3" spans="1:7" x14ac:dyDescent="0.2">
      <c r="A3" s="5" t="str">
        <f t="shared" ref="A3:A23" si="0">"- SOD"</f>
        <v>- SOD</v>
      </c>
      <c r="B3" s="5" t="s">
        <v>183</v>
      </c>
      <c r="C3" s="5">
        <v>0.11987951176806801</v>
      </c>
      <c r="D3" s="5">
        <v>0.26173696518241502</v>
      </c>
      <c r="E3" s="5">
        <v>4.2459342454344302E-2</v>
      </c>
      <c r="F3" s="5">
        <v>38</v>
      </c>
      <c r="G3" s="5">
        <v>26.315789473684202</v>
      </c>
    </row>
    <row r="4" spans="1:7" x14ac:dyDescent="0.2">
      <c r="A4" s="5" t="str">
        <f t="shared" si="0"/>
        <v>- SOD</v>
      </c>
      <c r="B4" s="5" t="s">
        <v>137</v>
      </c>
      <c r="C4" s="5">
        <v>0.11671383391739799</v>
      </c>
      <c r="D4" s="5">
        <v>0.21555718744447799</v>
      </c>
      <c r="E4" s="5">
        <v>3.4967993282193403E-2</v>
      </c>
      <c r="F4" s="5">
        <v>38</v>
      </c>
      <c r="G4" s="5">
        <v>36.842105263157897</v>
      </c>
    </row>
    <row r="5" spans="1:7" x14ac:dyDescent="0.2">
      <c r="A5" s="5" t="str">
        <f t="shared" si="0"/>
        <v>- SOD</v>
      </c>
      <c r="B5" s="5" t="s">
        <v>184</v>
      </c>
      <c r="C5" s="5">
        <v>6.6769815781308001E-2</v>
      </c>
      <c r="D5" s="5">
        <v>0.21744022256952</v>
      </c>
      <c r="E5" s="5">
        <v>3.52734619162169E-2</v>
      </c>
      <c r="F5" s="5">
        <v>38</v>
      </c>
      <c r="G5" s="5">
        <v>15.789473684210501</v>
      </c>
    </row>
    <row r="6" spans="1:7" x14ac:dyDescent="0.2">
      <c r="A6" s="5" t="str">
        <f t="shared" si="0"/>
        <v>- SOD</v>
      </c>
      <c r="B6" s="5" t="s">
        <v>139</v>
      </c>
      <c r="C6" s="5">
        <v>4.9612420628622103E-2</v>
      </c>
      <c r="D6" s="5">
        <v>0.18924932096154801</v>
      </c>
      <c r="E6" s="5">
        <v>3.0700293794414201E-2</v>
      </c>
      <c r="F6" s="5">
        <v>38</v>
      </c>
      <c r="G6" s="5">
        <v>10.526315789473699</v>
      </c>
    </row>
    <row r="7" spans="1:7" x14ac:dyDescent="0.2">
      <c r="A7" s="5" t="str">
        <f t="shared" si="0"/>
        <v>- SOD</v>
      </c>
      <c r="B7" s="5" t="s">
        <v>185</v>
      </c>
      <c r="C7" s="5">
        <v>4.93332648365436E-2</v>
      </c>
      <c r="D7" s="5">
        <v>0.131534935220192</v>
      </c>
      <c r="E7" s="5">
        <v>2.13377841197624E-2</v>
      </c>
      <c r="F7" s="5">
        <v>38</v>
      </c>
      <c r="G7" s="5">
        <v>18.421052631578899</v>
      </c>
    </row>
    <row r="8" spans="1:7" x14ac:dyDescent="0.2">
      <c r="A8" s="5" t="str">
        <f t="shared" si="0"/>
        <v>- SOD</v>
      </c>
      <c r="B8" s="5" t="s">
        <v>186</v>
      </c>
      <c r="C8" s="5">
        <v>4.9087821470395199E-2</v>
      </c>
      <c r="D8" s="5">
        <v>0.17423079965146401</v>
      </c>
      <c r="E8" s="5">
        <v>2.8263967924209599E-2</v>
      </c>
      <c r="F8" s="5">
        <v>38</v>
      </c>
      <c r="G8" s="5">
        <v>18.421052631578899</v>
      </c>
    </row>
    <row r="9" spans="1:7" x14ac:dyDescent="0.2">
      <c r="A9" s="5" t="str">
        <f t="shared" si="0"/>
        <v>- SOD</v>
      </c>
      <c r="B9" s="5" t="s">
        <v>187</v>
      </c>
      <c r="C9" s="5">
        <v>4.2564501689925802E-2</v>
      </c>
      <c r="D9" s="5">
        <v>0.134029917191301</v>
      </c>
      <c r="E9" s="5">
        <v>2.17425236408113E-2</v>
      </c>
      <c r="F9" s="5">
        <v>38</v>
      </c>
      <c r="G9" s="5">
        <v>13.157894736842101</v>
      </c>
    </row>
    <row r="10" spans="1:7" x14ac:dyDescent="0.2">
      <c r="A10" s="5" t="str">
        <f t="shared" si="0"/>
        <v>- SOD</v>
      </c>
      <c r="B10" s="5" t="s">
        <v>188</v>
      </c>
      <c r="C10" s="5">
        <v>4.1503814447605203E-2</v>
      </c>
      <c r="D10" s="5">
        <v>0.165652096283602</v>
      </c>
      <c r="E10" s="5">
        <v>2.6872318472415901E-2</v>
      </c>
      <c r="F10" s="5">
        <v>38</v>
      </c>
      <c r="G10" s="5">
        <v>7.8947368421052602</v>
      </c>
    </row>
    <row r="11" spans="1:7" x14ac:dyDescent="0.2">
      <c r="A11" s="5" t="str">
        <f t="shared" si="0"/>
        <v>- SOD</v>
      </c>
      <c r="B11" s="5" t="s">
        <v>189</v>
      </c>
      <c r="C11" s="5">
        <v>3.2652763270232497E-2</v>
      </c>
      <c r="D11" s="5">
        <v>7.7737574025359496E-2</v>
      </c>
      <c r="E11" s="5">
        <v>1.26106997336517E-2</v>
      </c>
      <c r="F11" s="5">
        <v>38</v>
      </c>
      <c r="G11" s="5">
        <v>50</v>
      </c>
    </row>
    <row r="12" spans="1:7" x14ac:dyDescent="0.2">
      <c r="A12" s="5" t="str">
        <f t="shared" si="0"/>
        <v>- SOD</v>
      </c>
      <c r="B12" s="5" t="s">
        <v>136</v>
      </c>
      <c r="C12" s="5">
        <v>2.9353679411900001E-2</v>
      </c>
      <c r="D12" s="5">
        <v>9.67756792030873E-2</v>
      </c>
      <c r="E12" s="5">
        <v>1.5699088211219601E-2</v>
      </c>
      <c r="F12" s="5">
        <v>38</v>
      </c>
      <c r="G12" s="5">
        <v>18.421052631578899</v>
      </c>
    </row>
    <row r="13" spans="1:7" x14ac:dyDescent="0.2">
      <c r="A13" s="5" t="str">
        <f t="shared" si="0"/>
        <v>- SOD</v>
      </c>
      <c r="B13" s="5" t="s">
        <v>178</v>
      </c>
      <c r="C13" s="4" t="s">
        <v>149</v>
      </c>
      <c r="D13" s="4" t="s">
        <v>149</v>
      </c>
      <c r="E13" s="4" t="s">
        <v>149</v>
      </c>
      <c r="F13" s="4" t="s">
        <v>149</v>
      </c>
      <c r="G13" s="4" t="s">
        <v>149</v>
      </c>
    </row>
    <row r="14" spans="1:7" x14ac:dyDescent="0.2">
      <c r="A14" s="5" t="str">
        <f t="shared" si="0"/>
        <v>- SOD</v>
      </c>
      <c r="B14" s="5" t="s">
        <v>190</v>
      </c>
      <c r="C14" s="5">
        <v>2.7841451828944E-2</v>
      </c>
      <c r="D14" s="5">
        <v>0.13769848396123999</v>
      </c>
      <c r="E14" s="5">
        <v>2.2337643755743802E-2</v>
      </c>
      <c r="F14" s="5">
        <v>38</v>
      </c>
      <c r="G14" s="5">
        <v>7.8947368421052602</v>
      </c>
    </row>
    <row r="15" spans="1:7" x14ac:dyDescent="0.2">
      <c r="A15" s="5" t="str">
        <f t="shared" si="0"/>
        <v>- SOD</v>
      </c>
      <c r="B15" s="5" t="s">
        <v>142</v>
      </c>
      <c r="C15" s="5">
        <v>2.52125711714286E-2</v>
      </c>
      <c r="D15" s="5">
        <v>0.12750495145632501</v>
      </c>
      <c r="E15" s="5">
        <v>2.0684034426454001E-2</v>
      </c>
      <c r="F15" s="5">
        <v>38</v>
      </c>
      <c r="G15" s="5">
        <v>7.8947368421052602</v>
      </c>
    </row>
    <row r="16" spans="1:7" x14ac:dyDescent="0.2">
      <c r="A16" s="5" t="str">
        <f t="shared" si="0"/>
        <v>- SOD</v>
      </c>
      <c r="B16" s="5" t="s">
        <v>191</v>
      </c>
      <c r="C16" s="5">
        <v>2.3963205464762698E-2</v>
      </c>
      <c r="D16" s="5">
        <v>9.4975238843120993E-2</v>
      </c>
      <c r="E16" s="5">
        <v>1.5407018217364701E-2</v>
      </c>
      <c r="F16" s="5">
        <v>38</v>
      </c>
      <c r="G16" s="5">
        <v>7.8947368421052602</v>
      </c>
    </row>
    <row r="17" spans="1:7" x14ac:dyDescent="0.2">
      <c r="A17" s="5" t="str">
        <f t="shared" si="0"/>
        <v>- SOD</v>
      </c>
      <c r="B17" s="5" t="s">
        <v>192</v>
      </c>
      <c r="C17" s="5">
        <v>2.1602048672522699E-2</v>
      </c>
      <c r="D17" s="5">
        <v>6.3385620637632006E-2</v>
      </c>
      <c r="E17" s="5">
        <v>1.02825054590921E-2</v>
      </c>
      <c r="F17" s="5">
        <v>38</v>
      </c>
      <c r="G17" s="5">
        <v>18.421052631578899</v>
      </c>
    </row>
    <row r="18" spans="1:7" x14ac:dyDescent="0.2">
      <c r="A18" s="5" t="str">
        <f t="shared" si="0"/>
        <v>- SOD</v>
      </c>
      <c r="B18" s="5" t="s">
        <v>143</v>
      </c>
      <c r="C18" s="5">
        <v>1.85909461501459E-2</v>
      </c>
      <c r="D18" s="5">
        <v>7.9371666320550094E-2</v>
      </c>
      <c r="E18" s="5">
        <v>1.28757845080363E-2</v>
      </c>
      <c r="F18" s="5">
        <v>38</v>
      </c>
      <c r="G18" s="5">
        <v>15.789473684210501</v>
      </c>
    </row>
    <row r="19" spans="1:7" x14ac:dyDescent="0.2">
      <c r="A19" s="5" t="str">
        <f t="shared" si="0"/>
        <v>- SOD</v>
      </c>
      <c r="B19" s="5" t="s">
        <v>193</v>
      </c>
      <c r="C19" s="5">
        <v>1.8490874122647102E-2</v>
      </c>
      <c r="D19" s="5">
        <v>6.3858748871056498E-2</v>
      </c>
      <c r="E19" s="5">
        <v>1.0359256993495301E-2</v>
      </c>
      <c r="F19" s="5">
        <v>38</v>
      </c>
      <c r="G19" s="5">
        <v>15.789473684210501</v>
      </c>
    </row>
    <row r="20" spans="1:7" x14ac:dyDescent="0.2">
      <c r="A20" s="5" t="str">
        <f t="shared" si="0"/>
        <v>- SOD</v>
      </c>
      <c r="B20" s="5" t="s">
        <v>194</v>
      </c>
      <c r="C20" s="5">
        <v>1.52995133890202E-2</v>
      </c>
      <c r="D20" s="5">
        <v>7.3616379076096403E-2</v>
      </c>
      <c r="E20" s="5">
        <v>1.19421536322253E-2</v>
      </c>
      <c r="F20" s="5">
        <v>38</v>
      </c>
      <c r="G20" s="5">
        <v>10.526315789473699</v>
      </c>
    </row>
    <row r="21" spans="1:7" x14ac:dyDescent="0.2">
      <c r="A21" s="5" t="str">
        <f t="shared" si="0"/>
        <v>- SOD</v>
      </c>
      <c r="B21" s="5" t="s">
        <v>195</v>
      </c>
      <c r="C21" s="5">
        <v>1.4355596580353E-2</v>
      </c>
      <c r="D21" s="5">
        <v>4.0275330215810798E-2</v>
      </c>
      <c r="E21" s="5">
        <v>6.5335213041195798E-3</v>
      </c>
      <c r="F21" s="5">
        <v>38</v>
      </c>
      <c r="G21" s="5">
        <v>15.789473684210501</v>
      </c>
    </row>
    <row r="22" spans="1:7" x14ac:dyDescent="0.2">
      <c r="A22" s="5" t="str">
        <f t="shared" si="0"/>
        <v>- SOD</v>
      </c>
      <c r="B22" s="5" t="s">
        <v>196</v>
      </c>
      <c r="C22" s="5">
        <v>1.2657592686438599E-2</v>
      </c>
      <c r="D22" s="5">
        <v>6.9506794838156097E-2</v>
      </c>
      <c r="E22" s="5">
        <v>1.127549103689E-2</v>
      </c>
      <c r="F22" s="5">
        <v>38</v>
      </c>
      <c r="G22" s="5">
        <v>7.8947368421052602</v>
      </c>
    </row>
    <row r="23" spans="1:7" x14ac:dyDescent="0.2">
      <c r="A23" s="5" t="str">
        <f t="shared" si="0"/>
        <v>- SOD</v>
      </c>
      <c r="B23" s="5" t="s">
        <v>141</v>
      </c>
      <c r="C23" s="5">
        <v>1.17960509794396E-2</v>
      </c>
      <c r="D23" s="5">
        <v>3.8322221878259899E-2</v>
      </c>
      <c r="E23" s="5">
        <v>6.2166852939797203E-3</v>
      </c>
      <c r="F23" s="5">
        <v>38</v>
      </c>
      <c r="G23" s="5">
        <v>13.157894736842101</v>
      </c>
    </row>
    <row r="24" spans="1:7" x14ac:dyDescent="0.2">
      <c r="A24" s="5" t="str">
        <f>"+ SOD"</f>
        <v>+ SOD</v>
      </c>
      <c r="B24" s="5" t="s">
        <v>135</v>
      </c>
      <c r="C24" s="5">
        <v>0.210935496870508</v>
      </c>
      <c r="D24" s="5">
        <v>0.34319023446748897</v>
      </c>
      <c r="E24" s="5">
        <v>5.7198372411248199E-2</v>
      </c>
      <c r="F24" s="5">
        <v>36</v>
      </c>
      <c r="G24" s="5">
        <v>38.8888888888889</v>
      </c>
    </row>
    <row r="25" spans="1:7" x14ac:dyDescent="0.2">
      <c r="A25" s="5" t="str">
        <f t="shared" ref="A25:A46" si="1">"+ SOD"</f>
        <v>+ SOD</v>
      </c>
      <c r="B25" s="5" t="s">
        <v>186</v>
      </c>
      <c r="C25" s="5">
        <v>0.13972727971862201</v>
      </c>
      <c r="D25" s="5">
        <v>0.28062513029925301</v>
      </c>
      <c r="E25" s="5">
        <v>4.6770855049875597E-2</v>
      </c>
      <c r="F25" s="5">
        <v>36</v>
      </c>
      <c r="G25" s="5">
        <v>47.2222222222222</v>
      </c>
    </row>
    <row r="26" spans="1:7" x14ac:dyDescent="0.2">
      <c r="A26" s="5" t="str">
        <f t="shared" si="1"/>
        <v>+ SOD</v>
      </c>
      <c r="B26" s="5" t="s">
        <v>137</v>
      </c>
      <c r="C26" s="5">
        <v>6.5310784791337007E-2</v>
      </c>
      <c r="D26" s="5">
        <v>0.19232999312354301</v>
      </c>
      <c r="E26" s="5">
        <v>3.2054998853923801E-2</v>
      </c>
      <c r="F26" s="5">
        <v>36</v>
      </c>
      <c r="G26" s="5">
        <v>33.3333333333333</v>
      </c>
    </row>
    <row r="27" spans="1:7" x14ac:dyDescent="0.2">
      <c r="A27" s="5" t="str">
        <f t="shared" si="1"/>
        <v>+ SOD</v>
      </c>
      <c r="B27" s="5" t="s">
        <v>183</v>
      </c>
      <c r="C27" s="5">
        <v>5.0570235485437098E-2</v>
      </c>
      <c r="D27" s="5">
        <v>0.14315313421831499</v>
      </c>
      <c r="E27" s="5">
        <v>2.38588557030525E-2</v>
      </c>
      <c r="F27" s="5">
        <v>36</v>
      </c>
      <c r="G27" s="5">
        <v>16.6666666666667</v>
      </c>
    </row>
    <row r="28" spans="1:7" x14ac:dyDescent="0.2">
      <c r="A28" s="5" t="str">
        <f t="shared" si="1"/>
        <v>+ SOD</v>
      </c>
      <c r="B28" s="5" t="s">
        <v>178</v>
      </c>
      <c r="C28" s="4" t="s">
        <v>149</v>
      </c>
      <c r="D28" s="4" t="s">
        <v>149</v>
      </c>
      <c r="E28" s="4" t="s">
        <v>149</v>
      </c>
      <c r="F28" s="4" t="s">
        <v>149</v>
      </c>
      <c r="G28" s="4" t="s">
        <v>149</v>
      </c>
    </row>
    <row r="29" spans="1:7" x14ac:dyDescent="0.2">
      <c r="A29" s="5" t="str">
        <f t="shared" si="1"/>
        <v>+ SOD</v>
      </c>
      <c r="B29" s="5" t="s">
        <v>141</v>
      </c>
      <c r="C29" s="5">
        <v>3.7549476114460197E-2</v>
      </c>
      <c r="D29" s="5">
        <v>0.10092065898942</v>
      </c>
      <c r="E29" s="5">
        <v>1.68201098315699E-2</v>
      </c>
      <c r="F29" s="5">
        <v>36</v>
      </c>
      <c r="G29" s="5">
        <v>19.4444444444444</v>
      </c>
    </row>
    <row r="30" spans="1:7" x14ac:dyDescent="0.2">
      <c r="A30" s="5" t="str">
        <f t="shared" si="1"/>
        <v>+ SOD</v>
      </c>
      <c r="B30" s="5" t="s">
        <v>138</v>
      </c>
      <c r="C30" s="5">
        <v>3.5641385158043402E-2</v>
      </c>
      <c r="D30" s="5">
        <v>0.13472717001964399</v>
      </c>
      <c r="E30" s="5">
        <v>2.2454528336607299E-2</v>
      </c>
      <c r="F30" s="5">
        <v>36</v>
      </c>
      <c r="G30" s="5">
        <v>11.1111111111111</v>
      </c>
    </row>
    <row r="31" spans="1:7" x14ac:dyDescent="0.2">
      <c r="A31" s="5" t="str">
        <f t="shared" si="1"/>
        <v>+ SOD</v>
      </c>
      <c r="B31" s="5" t="s">
        <v>184</v>
      </c>
      <c r="C31" s="5">
        <v>3.4552333668144801E-2</v>
      </c>
      <c r="D31" s="5">
        <v>9.7881971334059306E-2</v>
      </c>
      <c r="E31" s="5">
        <v>1.6313661889009901E-2</v>
      </c>
      <c r="F31" s="5">
        <v>36</v>
      </c>
      <c r="G31" s="5">
        <v>27.7777777777778</v>
      </c>
    </row>
    <row r="32" spans="1:7" x14ac:dyDescent="0.2">
      <c r="A32" s="5" t="str">
        <f t="shared" si="1"/>
        <v>+ SOD</v>
      </c>
      <c r="B32" s="5" t="s">
        <v>197</v>
      </c>
      <c r="C32" s="5">
        <v>3.3549343224757597E-2</v>
      </c>
      <c r="D32" s="5">
        <v>0.14022653272139399</v>
      </c>
      <c r="E32" s="5">
        <v>2.3371088786898999E-2</v>
      </c>
      <c r="F32" s="5">
        <v>36</v>
      </c>
      <c r="G32" s="5">
        <v>25</v>
      </c>
    </row>
    <row r="33" spans="1:7" x14ac:dyDescent="0.2">
      <c r="A33" s="5" t="str">
        <f t="shared" si="1"/>
        <v>+ SOD</v>
      </c>
      <c r="B33" s="5" t="s">
        <v>140</v>
      </c>
      <c r="C33" s="5">
        <v>3.126601853864E-2</v>
      </c>
      <c r="D33" s="5">
        <v>0.10854523695302599</v>
      </c>
      <c r="E33" s="5">
        <v>1.8090872825504301E-2</v>
      </c>
      <c r="F33" s="5">
        <v>36</v>
      </c>
      <c r="G33" s="5">
        <v>13.8888888888889</v>
      </c>
    </row>
    <row r="34" spans="1:7" x14ac:dyDescent="0.2">
      <c r="A34" s="5" t="str">
        <f t="shared" si="1"/>
        <v>+ SOD</v>
      </c>
      <c r="B34" s="5" t="s">
        <v>142</v>
      </c>
      <c r="C34" s="5">
        <v>2.9499833486265399E-2</v>
      </c>
      <c r="D34" s="5">
        <v>0.102583893443844</v>
      </c>
      <c r="E34" s="5">
        <v>1.7097315573973999E-2</v>
      </c>
      <c r="F34" s="5">
        <v>36</v>
      </c>
      <c r="G34" s="5">
        <v>11.1111111111111</v>
      </c>
    </row>
    <row r="35" spans="1:7" x14ac:dyDescent="0.2">
      <c r="A35" s="5" t="str">
        <f t="shared" si="1"/>
        <v>+ SOD</v>
      </c>
      <c r="B35" s="5" t="s">
        <v>198</v>
      </c>
      <c r="C35" s="5">
        <v>2.6499765818308301E-2</v>
      </c>
      <c r="D35" s="5">
        <v>0.11238341187046701</v>
      </c>
      <c r="E35" s="5">
        <v>1.87305686450778E-2</v>
      </c>
      <c r="F35" s="5">
        <v>36</v>
      </c>
      <c r="G35" s="5">
        <v>5.5555555555555598</v>
      </c>
    </row>
    <row r="36" spans="1:7" x14ac:dyDescent="0.2">
      <c r="A36" s="5" t="str">
        <f t="shared" si="1"/>
        <v>+ SOD</v>
      </c>
      <c r="B36" s="5" t="s">
        <v>199</v>
      </c>
      <c r="C36" s="5">
        <v>2.3619312375449501E-2</v>
      </c>
      <c r="D36" s="5">
        <v>0.102472246026881</v>
      </c>
      <c r="E36" s="5">
        <v>1.70787076711468E-2</v>
      </c>
      <c r="F36" s="5">
        <v>36</v>
      </c>
      <c r="G36" s="5">
        <v>19.4444444444444</v>
      </c>
    </row>
    <row r="37" spans="1:7" x14ac:dyDescent="0.2">
      <c r="A37" s="5" t="str">
        <f t="shared" si="1"/>
        <v>+ SOD</v>
      </c>
      <c r="B37" s="5" t="s">
        <v>188</v>
      </c>
      <c r="C37" s="5">
        <v>2.3291457711923699E-2</v>
      </c>
      <c r="D37" s="5">
        <v>0.100374630360964</v>
      </c>
      <c r="E37" s="5">
        <v>1.67291050601606E-2</v>
      </c>
      <c r="F37" s="5">
        <v>36</v>
      </c>
      <c r="G37" s="5">
        <v>8.3333333333333304</v>
      </c>
    </row>
    <row r="38" spans="1:7" x14ac:dyDescent="0.2">
      <c r="A38" s="5" t="str">
        <f t="shared" si="1"/>
        <v>+ SOD</v>
      </c>
      <c r="B38" s="5" t="s">
        <v>194</v>
      </c>
      <c r="C38" s="5">
        <v>2.1084340808276199E-2</v>
      </c>
      <c r="D38" s="5">
        <v>7.6441784698250304E-2</v>
      </c>
      <c r="E38" s="5">
        <v>1.27402974497084E-2</v>
      </c>
      <c r="F38" s="5">
        <v>36</v>
      </c>
      <c r="G38" s="5">
        <v>16.6666666666667</v>
      </c>
    </row>
    <row r="39" spans="1:7" x14ac:dyDescent="0.2">
      <c r="A39" s="5" t="str">
        <f t="shared" si="1"/>
        <v>+ SOD</v>
      </c>
      <c r="B39" s="5" t="s">
        <v>200</v>
      </c>
      <c r="C39" s="5">
        <v>2.05415396937021E-2</v>
      </c>
      <c r="D39" s="5">
        <v>0.123249238162213</v>
      </c>
      <c r="E39" s="5">
        <v>2.05415396937021E-2</v>
      </c>
      <c r="F39" s="5">
        <v>36</v>
      </c>
      <c r="G39" s="5">
        <v>2.7777777777777799</v>
      </c>
    </row>
    <row r="40" spans="1:7" x14ac:dyDescent="0.2">
      <c r="A40" s="5" t="str">
        <f t="shared" si="1"/>
        <v>+ SOD</v>
      </c>
      <c r="B40" s="5" t="s">
        <v>201</v>
      </c>
      <c r="C40" s="5">
        <v>2.0248555414461002E-2</v>
      </c>
      <c r="D40" s="5">
        <v>4.8190552238880399E-2</v>
      </c>
      <c r="E40" s="5">
        <v>8.0317587064800706E-3</v>
      </c>
      <c r="F40" s="5">
        <v>36</v>
      </c>
      <c r="G40" s="5">
        <v>25</v>
      </c>
    </row>
    <row r="41" spans="1:7" x14ac:dyDescent="0.2">
      <c r="A41" s="5" t="str">
        <f t="shared" si="1"/>
        <v>+ SOD</v>
      </c>
      <c r="B41" s="5" t="s">
        <v>196</v>
      </c>
      <c r="C41" s="5">
        <v>1.93637015297425E-2</v>
      </c>
      <c r="D41" s="5">
        <v>7.9017040106443906E-2</v>
      </c>
      <c r="E41" s="5">
        <v>1.3169506684407299E-2</v>
      </c>
      <c r="F41" s="5">
        <v>36</v>
      </c>
      <c r="G41" s="5">
        <v>8.3333333333333304</v>
      </c>
    </row>
    <row r="42" spans="1:7" x14ac:dyDescent="0.2">
      <c r="A42" s="5" t="str">
        <f t="shared" si="1"/>
        <v>+ SOD</v>
      </c>
      <c r="B42" s="5" t="s">
        <v>136</v>
      </c>
      <c r="C42" s="5">
        <v>1.6741563653096501E-2</v>
      </c>
      <c r="D42" s="5">
        <v>8.9925615689914598E-2</v>
      </c>
      <c r="E42" s="5">
        <v>1.4987602614985799E-2</v>
      </c>
      <c r="F42" s="5">
        <v>36</v>
      </c>
      <c r="G42" s="5">
        <v>11.1111111111111</v>
      </c>
    </row>
    <row r="43" spans="1:7" x14ac:dyDescent="0.2">
      <c r="A43" s="5" t="str">
        <f t="shared" si="1"/>
        <v>+ SOD</v>
      </c>
      <c r="B43" s="5" t="s">
        <v>202</v>
      </c>
      <c r="C43" s="5">
        <v>1.6445787909745199E-2</v>
      </c>
      <c r="D43" s="5">
        <v>9.8674727458471501E-2</v>
      </c>
      <c r="E43" s="5">
        <v>1.64457879097453E-2</v>
      </c>
      <c r="F43" s="5">
        <v>36</v>
      </c>
      <c r="G43" s="5">
        <v>2.7777777777777799</v>
      </c>
    </row>
    <row r="44" spans="1:7" x14ac:dyDescent="0.2">
      <c r="A44" s="5" t="str">
        <f t="shared" si="1"/>
        <v>+ SOD</v>
      </c>
      <c r="B44" s="5" t="s">
        <v>144</v>
      </c>
      <c r="C44" s="5">
        <v>1.60235652361637E-2</v>
      </c>
      <c r="D44" s="5">
        <v>9.6141391416981997E-2</v>
      </c>
      <c r="E44" s="5">
        <v>1.60235652361637E-2</v>
      </c>
      <c r="F44" s="5">
        <v>36</v>
      </c>
      <c r="G44" s="5">
        <v>2.7777777777777799</v>
      </c>
    </row>
    <row r="45" spans="1:7" x14ac:dyDescent="0.2">
      <c r="A45" s="5" t="str">
        <f t="shared" si="1"/>
        <v>+ SOD</v>
      </c>
      <c r="B45" s="5" t="s">
        <v>145</v>
      </c>
      <c r="C45" s="5">
        <v>1.04556676057203E-2</v>
      </c>
      <c r="D45" s="5">
        <v>5.12109949774497E-2</v>
      </c>
      <c r="E45" s="5">
        <v>8.5351658295749599E-3</v>
      </c>
      <c r="F45" s="5">
        <v>36</v>
      </c>
      <c r="G45" s="5">
        <v>5.5555555555555598</v>
      </c>
    </row>
    <row r="46" spans="1:7" x14ac:dyDescent="0.2">
      <c r="A46" s="5" t="str">
        <f t="shared" si="1"/>
        <v>+ SOD</v>
      </c>
      <c r="B46" s="5" t="s">
        <v>191</v>
      </c>
      <c r="C46" s="5">
        <v>9.9858981995833204E-3</v>
      </c>
      <c r="D46" s="5">
        <v>5.9851823318774498E-2</v>
      </c>
      <c r="E46" s="5">
        <v>9.97530388646241E-3</v>
      </c>
      <c r="F46" s="5">
        <v>36</v>
      </c>
      <c r="G46" s="5">
        <v>8.3333333333333304</v>
      </c>
    </row>
    <row r="48" spans="1:7" ht="18" x14ac:dyDescent="0.2">
      <c r="A48" s="1" t="s">
        <v>218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D161-3F5F-1C4D-A84E-BB5D78AAD25F}">
  <dimension ref="A1:XFD101"/>
  <sheetViews>
    <sheetView topLeftCell="A34" workbookViewId="0">
      <selection activeCell="A53" sqref="A53"/>
    </sheetView>
  </sheetViews>
  <sheetFormatPr baseColWidth="10" defaultRowHeight="16" x14ac:dyDescent="0.2"/>
  <cols>
    <col min="1" max="1" width="27.83203125" style="7" customWidth="1"/>
    <col min="2" max="2" width="18.6640625" style="7" bestFit="1" customWidth="1"/>
    <col min="3" max="3" width="27.83203125" style="7" bestFit="1" customWidth="1"/>
    <col min="4" max="4" width="20.1640625" style="7" bestFit="1" customWidth="1"/>
    <col min="5" max="5" width="16" style="7" bestFit="1" customWidth="1"/>
    <col min="6" max="6" width="13.5" style="7" bestFit="1" customWidth="1"/>
    <col min="7" max="7" width="20.83203125" style="7" bestFit="1" customWidth="1"/>
    <col min="8" max="8" width="11" style="7" customWidth="1"/>
  </cols>
  <sheetData>
    <row r="1" spans="1:8" customFormat="1" ht="17" thickBot="1" x14ac:dyDescent="0.25">
      <c r="A1" s="35" t="s">
        <v>213</v>
      </c>
      <c r="B1" s="6" t="s">
        <v>7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  <c r="H1" s="7"/>
    </row>
    <row r="2" spans="1:8" customFormat="1" x14ac:dyDescent="0.2">
      <c r="A2" s="32" t="str">
        <f>"- SOD"</f>
        <v>- SOD</v>
      </c>
      <c r="B2" s="32" t="s">
        <v>8</v>
      </c>
      <c r="C2" s="32">
        <v>0.49086694194494701</v>
      </c>
      <c r="D2" s="32">
        <v>7.5667245410548797E-2</v>
      </c>
      <c r="E2" s="32">
        <v>1.12798069605431E-2</v>
      </c>
      <c r="F2" s="32">
        <v>45</v>
      </c>
      <c r="G2" s="32">
        <v>100</v>
      </c>
      <c r="H2" s="7"/>
    </row>
    <row r="3" spans="1:8" customFormat="1" x14ac:dyDescent="0.2">
      <c r="A3" s="32" t="str">
        <f t="shared" ref="A3:A11" si="0">"- SOD"</f>
        <v>- SOD</v>
      </c>
      <c r="B3" s="5" t="s">
        <v>9</v>
      </c>
      <c r="C3" s="5">
        <v>0.17570883521507999</v>
      </c>
      <c r="D3" s="5">
        <v>8.3073658332789305E-2</v>
      </c>
      <c r="E3" s="5">
        <v>1.23838898114473E-2</v>
      </c>
      <c r="F3" s="5">
        <v>45</v>
      </c>
      <c r="G3" s="5">
        <v>100</v>
      </c>
      <c r="H3" s="7"/>
    </row>
    <row r="4" spans="1:8" customFormat="1" x14ac:dyDescent="0.2">
      <c r="A4" s="32" t="str">
        <f t="shared" si="0"/>
        <v>- SOD</v>
      </c>
      <c r="B4" s="5" t="s">
        <v>10</v>
      </c>
      <c r="C4" s="5">
        <v>8.5278193577677006E-2</v>
      </c>
      <c r="D4" s="5">
        <v>4.3478888259101199E-2</v>
      </c>
      <c r="E4" s="5">
        <v>6.4814499822311899E-3</v>
      </c>
      <c r="F4" s="5">
        <v>45</v>
      </c>
      <c r="G4" s="5">
        <v>100</v>
      </c>
      <c r="H4" s="7"/>
    </row>
    <row r="5" spans="1:8" customFormat="1" x14ac:dyDescent="0.2">
      <c r="A5" s="32" t="str">
        <f t="shared" si="0"/>
        <v>- SOD</v>
      </c>
      <c r="B5" s="5" t="s">
        <v>11</v>
      </c>
      <c r="C5" s="5">
        <v>8.0787125530453599E-2</v>
      </c>
      <c r="D5" s="5">
        <v>4.82048599241853E-2</v>
      </c>
      <c r="E5" s="5">
        <v>7.1859562424222397E-3</v>
      </c>
      <c r="F5" s="5">
        <v>45</v>
      </c>
      <c r="G5" s="5">
        <v>100</v>
      </c>
      <c r="H5" s="7"/>
    </row>
    <row r="6" spans="1:8" customFormat="1" x14ac:dyDescent="0.2">
      <c r="A6" s="32" t="str">
        <f t="shared" si="0"/>
        <v>- SOD</v>
      </c>
      <c r="B6" s="5" t="s">
        <v>12</v>
      </c>
      <c r="C6" s="5">
        <v>5.3417172104277801E-2</v>
      </c>
      <c r="D6" s="5">
        <v>1.5205168984877801E-2</v>
      </c>
      <c r="E6" s="5">
        <v>2.2666527639705401E-3</v>
      </c>
      <c r="F6" s="5">
        <v>45</v>
      </c>
      <c r="G6" s="5">
        <v>100</v>
      </c>
      <c r="H6" s="7"/>
    </row>
    <row r="7" spans="1:8" customFormat="1" x14ac:dyDescent="0.2">
      <c r="A7" s="32" t="str">
        <f t="shared" si="0"/>
        <v>- SOD</v>
      </c>
      <c r="B7" s="5" t="s">
        <v>13</v>
      </c>
      <c r="C7" s="5">
        <v>3.4403342334213903E-2</v>
      </c>
      <c r="D7" s="5">
        <v>1.55941573154966E-2</v>
      </c>
      <c r="E7" s="5">
        <v>2.3246397206184099E-3</v>
      </c>
      <c r="F7" s="5">
        <v>45</v>
      </c>
      <c r="G7" s="5">
        <v>100</v>
      </c>
      <c r="H7" s="7"/>
    </row>
    <row r="8" spans="1:8" customFormat="1" x14ac:dyDescent="0.2">
      <c r="A8" s="32" t="str">
        <f t="shared" si="0"/>
        <v>- SOD</v>
      </c>
      <c r="B8" s="5" t="s">
        <v>14</v>
      </c>
      <c r="C8" s="5">
        <v>2.51257688480645E-2</v>
      </c>
      <c r="D8" s="5">
        <v>1.6096322135146501E-2</v>
      </c>
      <c r="E8" s="5">
        <v>2.3994980321281399E-3</v>
      </c>
      <c r="F8" s="5">
        <v>45</v>
      </c>
      <c r="G8" s="5">
        <v>100</v>
      </c>
      <c r="H8" s="7"/>
    </row>
    <row r="9" spans="1:8" customFormat="1" x14ac:dyDescent="0.2">
      <c r="A9" s="32" t="str">
        <f t="shared" si="0"/>
        <v>- SOD</v>
      </c>
      <c r="B9" s="5" t="s">
        <v>15</v>
      </c>
      <c r="C9" s="5">
        <v>2.0357928319930399E-2</v>
      </c>
      <c r="D9" s="5">
        <v>2.0171049671047599E-2</v>
      </c>
      <c r="E9" s="5">
        <v>3.00692254946582E-3</v>
      </c>
      <c r="F9" s="5">
        <v>45</v>
      </c>
      <c r="G9" s="5">
        <v>100</v>
      </c>
      <c r="H9" s="7"/>
    </row>
    <row r="10" spans="1:8" customFormat="1" x14ac:dyDescent="0.2">
      <c r="A10" s="32" t="str">
        <f t="shared" si="0"/>
        <v>- SOD</v>
      </c>
      <c r="B10" s="5" t="s">
        <v>16</v>
      </c>
      <c r="C10" s="5">
        <v>1.9006200865459299E-2</v>
      </c>
      <c r="D10" s="5">
        <v>1.19129094304535E-2</v>
      </c>
      <c r="E10" s="5">
        <v>1.7758716864194901E-3</v>
      </c>
      <c r="F10" s="5">
        <v>45</v>
      </c>
      <c r="G10" s="5">
        <v>100</v>
      </c>
      <c r="H10" s="7"/>
    </row>
    <row r="11" spans="1:8" customFormat="1" x14ac:dyDescent="0.2">
      <c r="A11" s="32" t="str">
        <f t="shared" si="0"/>
        <v>- SOD</v>
      </c>
      <c r="B11" s="5" t="s">
        <v>178</v>
      </c>
      <c r="C11" s="4" t="s">
        <v>149</v>
      </c>
      <c r="D11" s="4" t="s">
        <v>149</v>
      </c>
      <c r="E11" s="4" t="s">
        <v>149</v>
      </c>
      <c r="F11" s="4" t="s">
        <v>149</v>
      </c>
      <c r="G11" s="4" t="s">
        <v>149</v>
      </c>
      <c r="H11" s="7"/>
    </row>
    <row r="12" spans="1:8" customFormat="1" x14ac:dyDescent="0.2">
      <c r="A12" s="5" t="s">
        <v>65</v>
      </c>
      <c r="B12" s="5" t="s">
        <v>8</v>
      </c>
      <c r="C12" s="5">
        <v>0.47343974085824198</v>
      </c>
      <c r="D12" s="5">
        <v>7.7809107247155396E-2</v>
      </c>
      <c r="E12" s="5">
        <v>1.6979339224620301E-2</v>
      </c>
      <c r="F12" s="5">
        <v>21</v>
      </c>
      <c r="G12" s="5">
        <v>100</v>
      </c>
      <c r="H12" s="7"/>
    </row>
    <row r="13" spans="1:8" customFormat="1" x14ac:dyDescent="0.2">
      <c r="A13" s="5" t="s">
        <v>65</v>
      </c>
      <c r="B13" s="5" t="s">
        <v>9</v>
      </c>
      <c r="C13" s="5">
        <v>0.15801133295418901</v>
      </c>
      <c r="D13" s="5">
        <v>7.5801959199558094E-2</v>
      </c>
      <c r="E13" s="5">
        <v>1.6541343612282301E-2</v>
      </c>
      <c r="F13" s="5">
        <v>21</v>
      </c>
      <c r="G13" s="5">
        <v>100</v>
      </c>
      <c r="H13" s="7"/>
    </row>
    <row r="14" spans="1:8" customFormat="1" x14ac:dyDescent="0.2">
      <c r="A14" s="5" t="s">
        <v>65</v>
      </c>
      <c r="B14" s="5" t="s">
        <v>11</v>
      </c>
      <c r="C14" s="5">
        <v>8.8907504009925295E-2</v>
      </c>
      <c r="D14" s="5">
        <v>5.7929335649408997E-2</v>
      </c>
      <c r="E14" s="5">
        <v>1.2641217408186699E-2</v>
      </c>
      <c r="F14" s="5">
        <v>21</v>
      </c>
      <c r="G14" s="5">
        <v>100</v>
      </c>
      <c r="H14" s="7"/>
    </row>
    <row r="15" spans="1:8" customFormat="1" x14ac:dyDescent="0.2">
      <c r="A15" s="5" t="s">
        <v>65</v>
      </c>
      <c r="B15" s="5" t="s">
        <v>10</v>
      </c>
      <c r="C15" s="5">
        <v>7.8377190497124299E-2</v>
      </c>
      <c r="D15" s="5">
        <v>3.8621877952140303E-2</v>
      </c>
      <c r="E15" s="5">
        <v>8.4279847236680399E-3</v>
      </c>
      <c r="F15" s="5">
        <v>21</v>
      </c>
      <c r="G15" s="5">
        <v>100</v>
      </c>
      <c r="H15" s="7"/>
    </row>
    <row r="16" spans="1:8" customFormat="1" x14ac:dyDescent="0.2">
      <c r="A16" s="5" t="s">
        <v>65</v>
      </c>
      <c r="B16" s="5" t="s">
        <v>13</v>
      </c>
      <c r="C16" s="5">
        <v>5.9258416751394698E-2</v>
      </c>
      <c r="D16" s="5">
        <v>4.2907445872115299E-2</v>
      </c>
      <c r="E16" s="5">
        <v>9.3631723136280501E-3</v>
      </c>
      <c r="F16" s="5">
        <v>21</v>
      </c>
      <c r="G16" s="5">
        <v>100</v>
      </c>
      <c r="H16" s="7"/>
    </row>
    <row r="17" spans="1:8" customFormat="1" x14ac:dyDescent="0.2">
      <c r="A17" s="5" t="s">
        <v>65</v>
      </c>
      <c r="B17" s="5" t="s">
        <v>12</v>
      </c>
      <c r="C17" s="5">
        <v>4.4437990230000203E-2</v>
      </c>
      <c r="D17" s="5">
        <v>1.4749312161727601E-2</v>
      </c>
      <c r="E17" s="5">
        <v>3.21856378236426E-3</v>
      </c>
      <c r="F17" s="5">
        <v>21</v>
      </c>
      <c r="G17" s="5">
        <v>100</v>
      </c>
      <c r="H17" s="7"/>
    </row>
    <row r="18" spans="1:8" customFormat="1" x14ac:dyDescent="0.2">
      <c r="A18" s="5" t="s">
        <v>65</v>
      </c>
      <c r="B18" s="5" t="s">
        <v>15</v>
      </c>
      <c r="C18" s="5">
        <v>3.3082371825111999E-2</v>
      </c>
      <c r="D18" s="5">
        <v>2.9986651910071199E-2</v>
      </c>
      <c r="E18" s="5">
        <v>6.5436239150568204E-3</v>
      </c>
      <c r="F18" s="5">
        <v>21</v>
      </c>
      <c r="G18" s="5">
        <v>95.238095238095198</v>
      </c>
      <c r="H18" s="7"/>
    </row>
    <row r="19" spans="1:8" customFormat="1" x14ac:dyDescent="0.2">
      <c r="A19" s="5" t="s">
        <v>65</v>
      </c>
      <c r="B19" s="5" t="s">
        <v>16</v>
      </c>
      <c r="C19" s="5">
        <v>2.4488272083574601E-2</v>
      </c>
      <c r="D19" s="5">
        <v>2.4424981264412698E-2</v>
      </c>
      <c r="E19" s="5">
        <v>5.3299678805737803E-3</v>
      </c>
      <c r="F19" s="5">
        <v>21</v>
      </c>
      <c r="G19" s="5">
        <v>100</v>
      </c>
      <c r="H19" s="7"/>
    </row>
    <row r="20" spans="1:8" customFormat="1" x14ac:dyDescent="0.2">
      <c r="A20" s="5" t="s">
        <v>65</v>
      </c>
      <c r="B20" s="5" t="s">
        <v>14</v>
      </c>
      <c r="C20" s="5">
        <v>2.2858183756211299E-2</v>
      </c>
      <c r="D20" s="5">
        <v>1.29782882719201E-2</v>
      </c>
      <c r="E20" s="5">
        <v>2.8320946855729199E-3</v>
      </c>
      <c r="F20" s="5">
        <v>21</v>
      </c>
      <c r="G20" s="5">
        <v>100</v>
      </c>
      <c r="H20" s="7"/>
    </row>
    <row r="21" spans="1:8" customFormat="1" x14ac:dyDescent="0.2">
      <c r="A21" s="5" t="s">
        <v>65</v>
      </c>
      <c r="B21" s="5" t="s">
        <v>178</v>
      </c>
      <c r="C21" s="4" t="s">
        <v>149</v>
      </c>
      <c r="D21" s="4" t="s">
        <v>149</v>
      </c>
      <c r="E21" s="4" t="s">
        <v>149</v>
      </c>
      <c r="F21" s="4" t="s">
        <v>149</v>
      </c>
      <c r="G21" s="4" t="s">
        <v>149</v>
      </c>
      <c r="H21" s="7"/>
    </row>
    <row r="22" spans="1:8" customFormat="1" x14ac:dyDescent="0.2">
      <c r="A22" s="5" t="s">
        <v>66</v>
      </c>
      <c r="B22" s="5" t="s">
        <v>8</v>
      </c>
      <c r="C22" s="5">
        <v>0.39010459595706798</v>
      </c>
      <c r="D22" s="5">
        <v>0.117798261594052</v>
      </c>
      <c r="E22" s="5">
        <v>5.8899130797025898E-2</v>
      </c>
      <c r="F22" s="5">
        <v>4</v>
      </c>
      <c r="G22" s="5">
        <v>100</v>
      </c>
      <c r="H22" s="7"/>
    </row>
    <row r="23" spans="1:8" customFormat="1" x14ac:dyDescent="0.2">
      <c r="A23" s="5" t="s">
        <v>66</v>
      </c>
      <c r="B23" s="5" t="s">
        <v>11</v>
      </c>
      <c r="C23" s="5">
        <v>0.136258968045848</v>
      </c>
      <c r="D23" s="5">
        <v>9.6122049616796407E-2</v>
      </c>
      <c r="E23" s="5">
        <v>4.8061024808398203E-2</v>
      </c>
      <c r="F23" s="5">
        <v>4</v>
      </c>
      <c r="G23" s="5">
        <v>100</v>
      </c>
      <c r="H23" s="7"/>
    </row>
    <row r="24" spans="1:8" customFormat="1" x14ac:dyDescent="0.2">
      <c r="A24" s="5" t="s">
        <v>66</v>
      </c>
      <c r="B24" s="5" t="s">
        <v>9</v>
      </c>
      <c r="C24" s="5">
        <v>0.12742999999576901</v>
      </c>
      <c r="D24" s="5">
        <v>5.92528476767211E-2</v>
      </c>
      <c r="E24" s="5">
        <v>2.9626423838360502E-2</v>
      </c>
      <c r="F24" s="5">
        <v>4</v>
      </c>
      <c r="G24" s="5">
        <v>100</v>
      </c>
      <c r="H24" s="7"/>
    </row>
    <row r="25" spans="1:8" customFormat="1" x14ac:dyDescent="0.2">
      <c r="A25" s="5" t="s">
        <v>66</v>
      </c>
      <c r="B25" s="5" t="s">
        <v>10</v>
      </c>
      <c r="C25" s="5">
        <v>0.10271961048702</v>
      </c>
      <c r="D25" s="5">
        <v>5.19887930673264E-2</v>
      </c>
      <c r="E25" s="5">
        <v>2.59943965336632E-2</v>
      </c>
      <c r="F25" s="5">
        <v>4</v>
      </c>
      <c r="G25" s="5">
        <v>100</v>
      </c>
      <c r="H25" s="7"/>
    </row>
    <row r="26" spans="1:8" customFormat="1" x14ac:dyDescent="0.2">
      <c r="A26" s="5" t="s">
        <v>66</v>
      </c>
      <c r="B26" s="5" t="s">
        <v>13</v>
      </c>
      <c r="C26" s="5">
        <v>9.9760173409101302E-2</v>
      </c>
      <c r="D26" s="5">
        <v>5.74783865115151E-2</v>
      </c>
      <c r="E26" s="5">
        <v>2.8739193255757502E-2</v>
      </c>
      <c r="F26" s="5">
        <v>4</v>
      </c>
      <c r="G26" s="5">
        <v>100</v>
      </c>
      <c r="H26" s="7"/>
    </row>
    <row r="27" spans="1:8" customFormat="1" x14ac:dyDescent="0.2">
      <c r="A27" s="5" t="s">
        <v>66</v>
      </c>
      <c r="B27" s="5" t="s">
        <v>12</v>
      </c>
      <c r="C27" s="5">
        <v>3.7757512766377899E-2</v>
      </c>
      <c r="D27" s="5">
        <v>1.08795894249713E-2</v>
      </c>
      <c r="E27" s="5">
        <v>5.4397947124856403E-3</v>
      </c>
      <c r="F27" s="5">
        <v>4</v>
      </c>
      <c r="G27" s="5">
        <v>100</v>
      </c>
      <c r="H27" s="7"/>
    </row>
    <row r="28" spans="1:8" customFormat="1" x14ac:dyDescent="0.2">
      <c r="A28" s="5" t="s">
        <v>66</v>
      </c>
      <c r="B28" s="5" t="s">
        <v>16</v>
      </c>
      <c r="C28" s="5">
        <v>3.2953662583325098E-2</v>
      </c>
      <c r="D28" s="5">
        <v>2.74777310724823E-2</v>
      </c>
      <c r="E28" s="5">
        <v>1.37388655362412E-2</v>
      </c>
      <c r="F28" s="5">
        <v>4</v>
      </c>
      <c r="G28" s="5">
        <v>100</v>
      </c>
      <c r="H28" s="7"/>
    </row>
    <row r="29" spans="1:8" customFormat="1" x14ac:dyDescent="0.2">
      <c r="A29" s="5" t="s">
        <v>66</v>
      </c>
      <c r="B29" s="5" t="s">
        <v>15</v>
      </c>
      <c r="C29" s="5">
        <v>2.6507893571082498E-2</v>
      </c>
      <c r="D29" s="5">
        <v>1.8867643879530199E-2</v>
      </c>
      <c r="E29" s="5">
        <v>9.4338219397650993E-3</v>
      </c>
      <c r="F29" s="5">
        <v>4</v>
      </c>
      <c r="G29" s="5">
        <v>100</v>
      </c>
      <c r="H29" s="7"/>
    </row>
    <row r="30" spans="1:8" customFormat="1" x14ac:dyDescent="0.2">
      <c r="A30" s="5" t="s">
        <v>66</v>
      </c>
      <c r="B30" s="5" t="s">
        <v>14</v>
      </c>
      <c r="C30" s="5">
        <v>2.1332664893114601E-2</v>
      </c>
      <c r="D30" s="5">
        <v>8.1990432799344103E-3</v>
      </c>
      <c r="E30" s="5">
        <v>4.0995216399672E-3</v>
      </c>
      <c r="F30" s="5">
        <v>4</v>
      </c>
      <c r="G30" s="5">
        <v>100</v>
      </c>
      <c r="H30" s="7"/>
    </row>
    <row r="31" spans="1:8" customFormat="1" x14ac:dyDescent="0.2">
      <c r="A31" s="5" t="s">
        <v>66</v>
      </c>
      <c r="B31" s="5" t="s">
        <v>17</v>
      </c>
      <c r="C31" s="5">
        <v>1.08509491520125E-2</v>
      </c>
      <c r="D31" s="5">
        <v>9.5455513925138992E-3</v>
      </c>
      <c r="E31" s="5">
        <v>4.7727756962569496E-3</v>
      </c>
      <c r="F31" s="5">
        <v>4</v>
      </c>
      <c r="G31" s="5">
        <v>100</v>
      </c>
      <c r="H31" s="7"/>
    </row>
    <row r="32" spans="1:8" customFormat="1" x14ac:dyDescent="0.2">
      <c r="A32" s="5" t="s">
        <v>67</v>
      </c>
      <c r="B32" s="5" t="s">
        <v>8</v>
      </c>
      <c r="C32" s="5">
        <v>0.45054306171340203</v>
      </c>
      <c r="D32" s="5">
        <v>8.0080341668782196E-2</v>
      </c>
      <c r="E32" s="5">
        <v>3.0267524137240098E-2</v>
      </c>
      <c r="F32" s="5">
        <v>7</v>
      </c>
      <c r="G32" s="5">
        <v>100</v>
      </c>
      <c r="H32" s="7"/>
    </row>
    <row r="33" spans="1:8" customFormat="1" x14ac:dyDescent="0.2">
      <c r="A33" s="5" t="s">
        <v>67</v>
      </c>
      <c r="B33" s="5" t="s">
        <v>9</v>
      </c>
      <c r="C33" s="5">
        <v>0.156971797934748</v>
      </c>
      <c r="D33" s="5">
        <v>0.100448518180216</v>
      </c>
      <c r="E33" s="5">
        <v>3.7965971238542999E-2</v>
      </c>
      <c r="F33" s="5">
        <v>7</v>
      </c>
      <c r="G33" s="5">
        <v>100</v>
      </c>
      <c r="H33" s="7"/>
    </row>
    <row r="34" spans="1:8" customFormat="1" x14ac:dyDescent="0.2">
      <c r="A34" s="5" t="s">
        <v>67</v>
      </c>
      <c r="B34" s="5" t="s">
        <v>10</v>
      </c>
      <c r="C34" s="5">
        <v>8.4878950328969999E-2</v>
      </c>
      <c r="D34" s="5">
        <v>4.2355949976616798E-2</v>
      </c>
      <c r="E34" s="5">
        <v>1.6009044311717201E-2</v>
      </c>
      <c r="F34" s="5">
        <v>7</v>
      </c>
      <c r="G34" s="5">
        <v>100</v>
      </c>
      <c r="H34" s="7"/>
    </row>
    <row r="35" spans="1:8" customFormat="1" x14ac:dyDescent="0.2">
      <c r="A35" s="5" t="s">
        <v>67</v>
      </c>
      <c r="B35" s="5" t="s">
        <v>11</v>
      </c>
      <c r="C35" s="5">
        <v>8.1140464353035499E-2</v>
      </c>
      <c r="D35" s="5">
        <v>4.1969488608603001E-2</v>
      </c>
      <c r="E35" s="5">
        <v>1.5862975644417399E-2</v>
      </c>
      <c r="F35" s="5">
        <v>7</v>
      </c>
      <c r="G35" s="5">
        <v>100</v>
      </c>
      <c r="H35" s="7"/>
    </row>
    <row r="36" spans="1:8" customFormat="1" x14ac:dyDescent="0.2">
      <c r="A36" s="5" t="s">
        <v>67</v>
      </c>
      <c r="B36" s="5" t="s">
        <v>13</v>
      </c>
      <c r="C36" s="5">
        <v>7.9536965970916501E-2</v>
      </c>
      <c r="D36" s="5">
        <v>4.04798241181204E-2</v>
      </c>
      <c r="E36" s="5">
        <v>1.52999353903116E-2</v>
      </c>
      <c r="F36" s="5">
        <v>7</v>
      </c>
      <c r="G36" s="5">
        <v>100</v>
      </c>
      <c r="H36" s="7"/>
    </row>
    <row r="37" spans="1:8" customFormat="1" x14ac:dyDescent="0.2">
      <c r="A37" s="5" t="s">
        <v>67</v>
      </c>
      <c r="B37" s="5" t="s">
        <v>12</v>
      </c>
      <c r="C37" s="5">
        <v>4.9447511863510298E-2</v>
      </c>
      <c r="D37" s="5">
        <v>2.06270335704456E-2</v>
      </c>
      <c r="E37" s="5">
        <v>7.7962858731971301E-3</v>
      </c>
      <c r="F37" s="5">
        <v>7</v>
      </c>
      <c r="G37" s="5">
        <v>100</v>
      </c>
      <c r="H37" s="7"/>
    </row>
    <row r="38" spans="1:8" customFormat="1" x14ac:dyDescent="0.2">
      <c r="A38" s="5" t="s">
        <v>67</v>
      </c>
      <c r="B38" s="5" t="s">
        <v>14</v>
      </c>
      <c r="C38" s="5">
        <v>3.5368887915846997E-2</v>
      </c>
      <c r="D38" s="5">
        <v>1.6084923511884699E-2</v>
      </c>
      <c r="E38" s="5">
        <v>6.0795296385632303E-3</v>
      </c>
      <c r="F38" s="5">
        <v>7</v>
      </c>
      <c r="G38" s="5">
        <v>100</v>
      </c>
      <c r="H38" s="7"/>
    </row>
    <row r="39" spans="1:8" customFormat="1" x14ac:dyDescent="0.2">
      <c r="A39" s="5" t="s">
        <v>67</v>
      </c>
      <c r="B39" s="5" t="s">
        <v>16</v>
      </c>
      <c r="C39" s="5">
        <v>2.15868828806971E-2</v>
      </c>
      <c r="D39" s="5">
        <v>2.0174393749108999E-2</v>
      </c>
      <c r="E39" s="5">
        <v>7.6252041016626401E-3</v>
      </c>
      <c r="F39" s="5">
        <v>7</v>
      </c>
      <c r="G39" s="5">
        <v>100</v>
      </c>
      <c r="H39" s="7"/>
    </row>
    <row r="40" spans="1:8" customFormat="1" x14ac:dyDescent="0.2">
      <c r="A40" s="5" t="s">
        <v>67</v>
      </c>
      <c r="B40" s="5" t="s">
        <v>15</v>
      </c>
      <c r="C40" s="5">
        <v>1.7653064473858001E-2</v>
      </c>
      <c r="D40" s="5">
        <v>1.57270668754191E-2</v>
      </c>
      <c r="E40" s="5">
        <v>5.9442725435486397E-3</v>
      </c>
      <c r="F40" s="5">
        <v>7</v>
      </c>
      <c r="G40" s="5">
        <v>100</v>
      </c>
      <c r="H40" s="7"/>
    </row>
    <row r="41" spans="1:8" customFormat="1" x14ac:dyDescent="0.2">
      <c r="A41" s="5" t="s">
        <v>67</v>
      </c>
      <c r="B41" s="5" t="s">
        <v>17</v>
      </c>
      <c r="C41" s="5">
        <v>1.2464934822396001E-2</v>
      </c>
      <c r="D41" s="5">
        <v>9.0820697603573308E-3</v>
      </c>
      <c r="E41" s="5">
        <v>3.4326997108065E-3</v>
      </c>
      <c r="F41" s="5">
        <v>7</v>
      </c>
      <c r="G41" s="5">
        <v>100</v>
      </c>
      <c r="H41" s="7"/>
    </row>
    <row r="42" spans="1:8" customFormat="1" x14ac:dyDescent="0.2">
      <c r="A42" s="5" t="s">
        <v>68</v>
      </c>
      <c r="B42" s="5" t="s">
        <v>8</v>
      </c>
      <c r="C42" s="5">
        <v>0.43813245938509698</v>
      </c>
      <c r="D42" s="5">
        <v>3.4200404123065603E-2</v>
      </c>
      <c r="E42" s="5">
        <v>1.2926537721077099E-2</v>
      </c>
      <c r="F42" s="5">
        <v>7</v>
      </c>
      <c r="G42" s="5">
        <v>100</v>
      </c>
      <c r="H42" s="7"/>
    </row>
    <row r="43" spans="1:8" customFormat="1" x14ac:dyDescent="0.2">
      <c r="A43" s="5" t="s">
        <v>68</v>
      </c>
      <c r="B43" s="5" t="s">
        <v>9</v>
      </c>
      <c r="C43" s="5">
        <v>0.182493537232085</v>
      </c>
      <c r="D43" s="5">
        <v>6.59259483723382E-2</v>
      </c>
      <c r="E43" s="5">
        <v>2.49176663341843E-2</v>
      </c>
      <c r="F43" s="5">
        <v>7</v>
      </c>
      <c r="G43" s="5">
        <v>100</v>
      </c>
      <c r="H43" s="7"/>
    </row>
    <row r="44" spans="1:8" customFormat="1" x14ac:dyDescent="0.2">
      <c r="A44" s="5" t="s">
        <v>68</v>
      </c>
      <c r="B44" s="5" t="s">
        <v>11</v>
      </c>
      <c r="C44" s="5">
        <v>0.109690716802807</v>
      </c>
      <c r="D44" s="5">
        <v>5.53027497134881E-2</v>
      </c>
      <c r="E44" s="5">
        <v>2.09024746514197E-2</v>
      </c>
      <c r="F44" s="5">
        <v>7</v>
      </c>
      <c r="G44" s="5">
        <v>100</v>
      </c>
      <c r="H44" s="7"/>
    </row>
    <row r="45" spans="1:8" customFormat="1" x14ac:dyDescent="0.2">
      <c r="A45" s="5" t="s">
        <v>68</v>
      </c>
      <c r="B45" s="5" t="s">
        <v>10</v>
      </c>
      <c r="C45" s="5">
        <v>7.0524832992500494E-2</v>
      </c>
      <c r="D45" s="5">
        <v>1.7058198743580201E-2</v>
      </c>
      <c r="E45" s="5">
        <v>6.4473930986039402E-3</v>
      </c>
      <c r="F45" s="5">
        <v>7</v>
      </c>
      <c r="G45" s="5">
        <v>100</v>
      </c>
      <c r="H45" s="7"/>
    </row>
    <row r="46" spans="1:8" customFormat="1" x14ac:dyDescent="0.2">
      <c r="A46" s="5" t="s">
        <v>68</v>
      </c>
      <c r="B46" s="5" t="s">
        <v>12</v>
      </c>
      <c r="C46" s="5">
        <v>4.8987409718404901E-2</v>
      </c>
      <c r="D46" s="5">
        <v>1.83687978200467E-2</v>
      </c>
      <c r="E46" s="5">
        <v>6.9427529878670104E-3</v>
      </c>
      <c r="F46" s="5">
        <v>7</v>
      </c>
      <c r="G46" s="5">
        <v>100</v>
      </c>
      <c r="H46" s="7"/>
    </row>
    <row r="47" spans="1:8" customFormat="1" x14ac:dyDescent="0.2">
      <c r="A47" s="5" t="s">
        <v>68</v>
      </c>
      <c r="B47" s="5" t="s">
        <v>13</v>
      </c>
      <c r="C47" s="5">
        <v>4.1589187462208799E-2</v>
      </c>
      <c r="D47" s="5">
        <v>4.3404894676241298E-2</v>
      </c>
      <c r="E47" s="5">
        <v>1.6405508142326601E-2</v>
      </c>
      <c r="F47" s="5">
        <v>7</v>
      </c>
      <c r="G47" s="5">
        <v>100</v>
      </c>
      <c r="H47" s="7"/>
    </row>
    <row r="48" spans="1:8" customFormat="1" x14ac:dyDescent="0.2">
      <c r="A48" s="5" t="s">
        <v>68</v>
      </c>
      <c r="B48" s="5" t="s">
        <v>14</v>
      </c>
      <c r="C48" s="5">
        <v>3.6361467121599197E-2</v>
      </c>
      <c r="D48" s="5">
        <v>1.8173080958402001E-2</v>
      </c>
      <c r="E48" s="5">
        <v>6.8687789673964198E-3</v>
      </c>
      <c r="F48" s="5">
        <v>7</v>
      </c>
      <c r="G48" s="5">
        <v>100</v>
      </c>
      <c r="H48" s="7"/>
    </row>
    <row r="49" spans="1:8" customFormat="1" x14ac:dyDescent="0.2">
      <c r="A49" s="5" t="s">
        <v>68</v>
      </c>
      <c r="B49" s="5" t="s">
        <v>15</v>
      </c>
      <c r="C49" s="5">
        <v>3.4038310648100402E-2</v>
      </c>
      <c r="D49" s="5">
        <v>2.4414944037088899E-2</v>
      </c>
      <c r="E49" s="5">
        <v>9.2279814565280806E-3</v>
      </c>
      <c r="F49" s="5">
        <v>7</v>
      </c>
      <c r="G49" s="5">
        <v>100</v>
      </c>
      <c r="H49" s="7"/>
    </row>
    <row r="50" spans="1:8" customFormat="1" x14ac:dyDescent="0.2">
      <c r="A50" s="5" t="s">
        <v>68</v>
      </c>
      <c r="B50" s="5" t="s">
        <v>16</v>
      </c>
      <c r="C50" s="5">
        <v>2.07945277326449E-2</v>
      </c>
      <c r="D50" s="5">
        <v>1.05765941244949E-2</v>
      </c>
      <c r="E50" s="5">
        <v>3.9975768244972102E-3</v>
      </c>
      <c r="F50" s="5">
        <v>7</v>
      </c>
      <c r="G50" s="5">
        <v>100</v>
      </c>
      <c r="H50" s="7"/>
    </row>
    <row r="51" spans="1:8" customFormat="1" x14ac:dyDescent="0.2">
      <c r="A51" s="5" t="s">
        <v>68</v>
      </c>
      <c r="B51" s="5" t="s">
        <v>17</v>
      </c>
      <c r="C51" s="5">
        <v>1.17167410965573E-2</v>
      </c>
      <c r="D51" s="5">
        <v>7.9439216532178093E-3</v>
      </c>
      <c r="E51" s="5">
        <v>3.0025201612850598E-3</v>
      </c>
      <c r="F51" s="5">
        <v>7</v>
      </c>
      <c r="G51" s="5">
        <v>100</v>
      </c>
      <c r="H51" s="7"/>
    </row>
    <row r="52" spans="1:8" customFormat="1" x14ac:dyDescent="0.2">
      <c r="A52" s="7"/>
      <c r="B52" s="7"/>
      <c r="C52" s="7"/>
      <c r="D52" s="7"/>
      <c r="E52" s="7"/>
      <c r="F52" s="7"/>
      <c r="G52" s="7"/>
      <c r="H52" s="7"/>
    </row>
    <row r="53" spans="1:8" customFormat="1" ht="18" x14ac:dyDescent="0.2">
      <c r="A53" s="1" t="s">
        <v>216</v>
      </c>
      <c r="B53" s="7"/>
      <c r="C53" s="7"/>
      <c r="D53" s="7"/>
      <c r="E53" s="7"/>
      <c r="F53" s="7"/>
      <c r="G53" s="7"/>
      <c r="H53" s="7"/>
    </row>
    <row r="54" spans="1:8" customFormat="1" x14ac:dyDescent="0.2">
      <c r="A54" s="7"/>
      <c r="B54" s="7"/>
      <c r="C54" s="7"/>
      <c r="D54" s="7"/>
      <c r="E54" s="7"/>
      <c r="F54" s="7"/>
      <c r="G54" s="7"/>
      <c r="H54" s="7"/>
    </row>
    <row r="55" spans="1:8" customFormat="1" x14ac:dyDescent="0.2">
      <c r="A55" s="7"/>
      <c r="B55" s="7"/>
      <c r="C55" s="7"/>
      <c r="D55" s="7"/>
      <c r="E55" s="7"/>
      <c r="F55" s="7"/>
      <c r="G55" s="7"/>
      <c r="H55" s="7"/>
    </row>
    <row r="56" spans="1:8" customFormat="1" x14ac:dyDescent="0.2">
      <c r="A56" s="7"/>
      <c r="B56" s="7"/>
      <c r="C56" s="7"/>
      <c r="D56" s="7"/>
      <c r="E56" s="7"/>
      <c r="F56" s="7"/>
      <c r="G56" s="7"/>
      <c r="H56" s="7"/>
    </row>
    <row r="57" spans="1:8" customFormat="1" x14ac:dyDescent="0.2">
      <c r="A57" s="7"/>
      <c r="B57" s="7"/>
      <c r="C57" s="7"/>
      <c r="D57" s="7"/>
      <c r="E57" s="7"/>
      <c r="F57" s="7"/>
      <c r="G57" s="7"/>
      <c r="H57" s="7"/>
    </row>
    <row r="58" spans="1:8" customFormat="1" x14ac:dyDescent="0.2">
      <c r="A58" s="7"/>
      <c r="B58" s="7"/>
      <c r="C58" s="7"/>
      <c r="D58" s="7"/>
      <c r="E58" s="7"/>
      <c r="F58" s="7"/>
      <c r="G58" s="7"/>
      <c r="H58" s="7"/>
    </row>
    <row r="59" spans="1:8" customFormat="1" x14ac:dyDescent="0.2">
      <c r="A59" s="7"/>
      <c r="B59" s="7"/>
      <c r="C59" s="7"/>
      <c r="D59" s="7"/>
      <c r="E59" s="7"/>
      <c r="F59" s="7"/>
      <c r="G59" s="7"/>
      <c r="H59" s="7"/>
    </row>
    <row r="60" spans="1:8" customFormat="1" x14ac:dyDescent="0.2">
      <c r="A60" s="7"/>
      <c r="B60" s="7"/>
      <c r="C60" s="7"/>
      <c r="D60" s="7"/>
      <c r="E60" s="7"/>
      <c r="F60" s="7"/>
      <c r="G60" s="7"/>
      <c r="H60" s="7"/>
    </row>
    <row r="61" spans="1:8" customFormat="1" x14ac:dyDescent="0.2">
      <c r="A61" s="7"/>
      <c r="B61" s="7"/>
      <c r="C61" s="7"/>
      <c r="D61" s="7"/>
      <c r="E61" s="7"/>
      <c r="F61" s="7"/>
      <c r="G61" s="7"/>
      <c r="H61" s="7"/>
    </row>
    <row r="62" spans="1:8" customFormat="1" x14ac:dyDescent="0.2">
      <c r="A62" s="7"/>
      <c r="B62" s="7"/>
      <c r="C62" s="7"/>
      <c r="D62" s="7"/>
      <c r="E62" s="7"/>
      <c r="F62" s="7"/>
      <c r="G62" s="7"/>
      <c r="H62" s="7"/>
    </row>
    <row r="63" spans="1:8" customFormat="1" x14ac:dyDescent="0.2">
      <c r="A63" s="7"/>
      <c r="B63" s="7"/>
      <c r="C63" s="7"/>
      <c r="D63" s="7"/>
      <c r="E63" s="7"/>
      <c r="F63" s="7"/>
      <c r="G63" s="7"/>
      <c r="H63" s="7"/>
    </row>
    <row r="64" spans="1:8" customFormat="1" x14ac:dyDescent="0.2">
      <c r="A64" s="7"/>
      <c r="B64" s="7"/>
      <c r="C64" s="7"/>
      <c r="D64" s="7"/>
      <c r="E64" s="7"/>
      <c r="F64" s="7"/>
      <c r="G64" s="7"/>
      <c r="H64" s="7"/>
    </row>
    <row r="65" spans="1:8" customFormat="1" x14ac:dyDescent="0.2">
      <c r="A65" s="7"/>
      <c r="B65" s="7"/>
      <c r="C65" s="7"/>
      <c r="D65" s="7"/>
      <c r="E65" s="7"/>
      <c r="F65" s="7"/>
      <c r="G65" s="7"/>
      <c r="H65" s="7"/>
    </row>
    <row r="66" spans="1:8" customFormat="1" x14ac:dyDescent="0.2">
      <c r="A66" s="7"/>
      <c r="B66" s="7"/>
      <c r="C66" s="7"/>
      <c r="D66" s="7"/>
      <c r="E66" s="7"/>
      <c r="F66" s="7"/>
      <c r="G66" s="7"/>
      <c r="H66" s="7"/>
    </row>
    <row r="67" spans="1:8" customFormat="1" x14ac:dyDescent="0.2">
      <c r="A67" s="7"/>
      <c r="B67" s="7"/>
      <c r="C67" s="7"/>
      <c r="D67" s="7"/>
      <c r="E67" s="7"/>
      <c r="F67" s="7"/>
      <c r="G67" s="7"/>
      <c r="H67" s="7"/>
    </row>
    <row r="68" spans="1:8" customFormat="1" x14ac:dyDescent="0.2">
      <c r="A68" s="7"/>
      <c r="B68" s="7"/>
      <c r="C68" s="7"/>
      <c r="D68" s="7"/>
      <c r="E68" s="7"/>
      <c r="F68" s="7"/>
      <c r="G68" s="7"/>
      <c r="H68" s="7"/>
    </row>
    <row r="69" spans="1:8" customFormat="1" x14ac:dyDescent="0.2">
      <c r="A69" s="7"/>
      <c r="B69" s="7"/>
      <c r="C69" s="7"/>
      <c r="D69" s="7"/>
      <c r="E69" s="7"/>
      <c r="F69" s="7"/>
      <c r="G69" s="7"/>
      <c r="H69" s="7"/>
    </row>
    <row r="70" spans="1:8" customFormat="1" x14ac:dyDescent="0.2">
      <c r="A70" s="7"/>
      <c r="B70" s="7"/>
      <c r="C70" s="7"/>
      <c r="D70" s="7"/>
      <c r="E70" s="7"/>
      <c r="F70" s="7"/>
      <c r="G70" s="7"/>
      <c r="H70" s="7"/>
    </row>
    <row r="71" spans="1:8" customFormat="1" x14ac:dyDescent="0.2">
      <c r="A71" s="7"/>
      <c r="B71" s="7"/>
      <c r="C71" s="7"/>
      <c r="D71" s="7"/>
      <c r="E71" s="7"/>
      <c r="F71" s="7"/>
      <c r="G71" s="7"/>
      <c r="H71" s="7"/>
    </row>
    <row r="72" spans="1:8" customFormat="1" x14ac:dyDescent="0.2">
      <c r="A72" s="7"/>
      <c r="B72" s="7"/>
      <c r="C72" s="7"/>
      <c r="D72" s="7"/>
      <c r="E72" s="7"/>
      <c r="F72" s="7"/>
      <c r="G72" s="7"/>
      <c r="H72" s="7"/>
    </row>
    <row r="73" spans="1:8" customFormat="1" x14ac:dyDescent="0.2">
      <c r="A73" s="7"/>
      <c r="B73" s="7"/>
      <c r="C73" s="7"/>
      <c r="D73" s="7"/>
      <c r="E73" s="7"/>
      <c r="F73" s="7"/>
      <c r="G73" s="7"/>
      <c r="H73" s="7"/>
    </row>
    <row r="74" spans="1:8" customFormat="1" x14ac:dyDescent="0.2">
      <c r="A74" s="7"/>
      <c r="B74" s="7"/>
      <c r="C74" s="7"/>
      <c r="D74" s="7"/>
      <c r="E74" s="7"/>
      <c r="F74" s="7"/>
      <c r="G74" s="7"/>
      <c r="H74" s="7"/>
    </row>
    <row r="75" spans="1:8" customFormat="1" x14ac:dyDescent="0.2">
      <c r="A75" s="7"/>
      <c r="B75" s="7"/>
      <c r="C75" s="7"/>
      <c r="D75" s="7"/>
      <c r="E75" s="7"/>
      <c r="F75" s="7"/>
      <c r="G75" s="7"/>
      <c r="H75" s="7"/>
    </row>
    <row r="76" spans="1:8" customFormat="1" x14ac:dyDescent="0.2">
      <c r="A76" s="7"/>
      <c r="B76" s="7"/>
      <c r="C76" s="7"/>
      <c r="D76" s="7"/>
      <c r="E76" s="7"/>
      <c r="F76" s="7"/>
      <c r="G76" s="7"/>
      <c r="H76" s="7"/>
    </row>
    <row r="77" spans="1:8" customFormat="1" x14ac:dyDescent="0.2">
      <c r="A77" s="7"/>
      <c r="B77" s="7"/>
      <c r="C77" s="7"/>
      <c r="D77" s="7"/>
      <c r="E77" s="7"/>
      <c r="F77" s="7"/>
      <c r="G77" s="7"/>
      <c r="H77" s="7"/>
    </row>
    <row r="78" spans="1:8" customFormat="1" x14ac:dyDescent="0.2">
      <c r="A78" s="7"/>
      <c r="B78" s="7"/>
      <c r="C78" s="7"/>
      <c r="D78" s="7"/>
      <c r="E78" s="7"/>
      <c r="F78" s="7"/>
      <c r="G78" s="7"/>
      <c r="H78" s="7"/>
    </row>
    <row r="79" spans="1:8" customFormat="1" x14ac:dyDescent="0.2">
      <c r="A79" s="7"/>
      <c r="B79" s="7"/>
      <c r="C79" s="7"/>
      <c r="D79" s="7"/>
      <c r="E79" s="7"/>
      <c r="F79" s="7"/>
      <c r="G79" s="7"/>
      <c r="H79" s="7"/>
    </row>
    <row r="80" spans="1:8" customFormat="1" x14ac:dyDescent="0.2">
      <c r="A80" s="7"/>
      <c r="B80" s="7"/>
      <c r="C80" s="7"/>
      <c r="D80" s="7"/>
      <c r="E80" s="7"/>
      <c r="F80" s="7"/>
      <c r="G80" s="7"/>
      <c r="H80" s="7"/>
    </row>
    <row r="81" spans="1:8" customFormat="1" x14ac:dyDescent="0.2">
      <c r="A81" s="7"/>
      <c r="B81" s="7"/>
      <c r="C81" s="7"/>
      <c r="D81" s="7"/>
      <c r="E81" s="7"/>
      <c r="F81" s="7"/>
      <c r="G81" s="7"/>
      <c r="H81" s="7"/>
    </row>
    <row r="82" spans="1:8" customFormat="1" x14ac:dyDescent="0.2">
      <c r="A82" s="7"/>
      <c r="B82" s="7"/>
      <c r="C82" s="7"/>
      <c r="D82" s="7"/>
      <c r="E82" s="7"/>
      <c r="F82" s="7"/>
      <c r="G82" s="7"/>
      <c r="H82" s="7"/>
    </row>
    <row r="83" spans="1:8" customFormat="1" x14ac:dyDescent="0.2">
      <c r="A83" s="7"/>
      <c r="B83" s="7"/>
      <c r="C83" s="7"/>
      <c r="D83" s="7"/>
      <c r="E83" s="7"/>
      <c r="F83" s="7"/>
      <c r="G83" s="7"/>
      <c r="H83" s="7"/>
    </row>
    <row r="84" spans="1:8" customFormat="1" x14ac:dyDescent="0.2">
      <c r="A84" s="7"/>
      <c r="B84" s="7"/>
      <c r="C84" s="7"/>
      <c r="D84" s="7"/>
      <c r="E84" s="7"/>
      <c r="F84" s="7"/>
      <c r="G84" s="7"/>
      <c r="H84" s="7"/>
    </row>
    <row r="85" spans="1:8" customFormat="1" x14ac:dyDescent="0.2">
      <c r="A85" s="7"/>
      <c r="B85" s="7"/>
      <c r="C85" s="7"/>
      <c r="D85" s="7"/>
      <c r="E85" s="7"/>
      <c r="F85" s="7"/>
      <c r="G85" s="7"/>
      <c r="H85" s="7"/>
    </row>
    <row r="86" spans="1:8" customFormat="1" x14ac:dyDescent="0.2">
      <c r="A86" s="7"/>
      <c r="B86" s="7"/>
      <c r="C86" s="7"/>
      <c r="D86" s="7"/>
      <c r="E86" s="7"/>
      <c r="F86" s="7"/>
      <c r="G86" s="7"/>
      <c r="H86" s="7"/>
    </row>
    <row r="87" spans="1:8" customFormat="1" x14ac:dyDescent="0.2">
      <c r="A87" s="7"/>
      <c r="B87" s="7"/>
      <c r="C87" s="7"/>
      <c r="D87" s="7"/>
      <c r="E87" s="7"/>
      <c r="F87" s="7"/>
      <c r="G87" s="7"/>
      <c r="H87" s="7"/>
    </row>
    <row r="88" spans="1:8" customFormat="1" x14ac:dyDescent="0.2">
      <c r="A88" s="7"/>
      <c r="B88" s="7"/>
      <c r="C88" s="7"/>
      <c r="D88" s="7"/>
      <c r="E88" s="7"/>
      <c r="F88" s="7"/>
      <c r="G88" s="7"/>
      <c r="H88" s="7"/>
    </row>
    <row r="89" spans="1:8" customFormat="1" x14ac:dyDescent="0.2">
      <c r="A89" s="7"/>
      <c r="B89" s="7"/>
      <c r="C89" s="7"/>
      <c r="D89" s="7"/>
      <c r="E89" s="7"/>
      <c r="F89" s="7"/>
      <c r="G89" s="7"/>
      <c r="H89" s="7"/>
    </row>
    <row r="90" spans="1:8" customFormat="1" x14ac:dyDescent="0.2">
      <c r="A90" s="7"/>
      <c r="B90" s="7"/>
      <c r="C90" s="7"/>
      <c r="D90" s="7"/>
      <c r="E90" s="7"/>
      <c r="F90" s="7"/>
      <c r="G90" s="7"/>
      <c r="H90" s="7"/>
    </row>
    <row r="91" spans="1:8" customFormat="1" x14ac:dyDescent="0.2">
      <c r="A91" s="7"/>
      <c r="B91" s="7"/>
      <c r="C91" s="7"/>
      <c r="D91" s="7"/>
      <c r="E91" s="7"/>
      <c r="F91" s="7"/>
      <c r="G91" s="7"/>
      <c r="H91" s="7"/>
    </row>
    <row r="92" spans="1:8" customFormat="1" x14ac:dyDescent="0.2">
      <c r="A92" s="7"/>
      <c r="B92" s="7"/>
      <c r="C92" s="7"/>
      <c r="D92" s="7"/>
      <c r="E92" s="7"/>
      <c r="F92" s="7"/>
      <c r="G92" s="7"/>
      <c r="H92" s="7"/>
    </row>
    <row r="93" spans="1:8" customFormat="1" x14ac:dyDescent="0.2">
      <c r="A93" s="7"/>
      <c r="B93" s="7"/>
      <c r="C93" s="7"/>
      <c r="D93" s="7"/>
      <c r="E93" s="7"/>
      <c r="F93" s="7"/>
      <c r="G93" s="7"/>
      <c r="H93" s="7"/>
    </row>
    <row r="94" spans="1:8" customFormat="1" x14ac:dyDescent="0.2">
      <c r="A94" s="7"/>
      <c r="B94" s="7"/>
      <c r="C94" s="7"/>
      <c r="D94" s="7"/>
      <c r="E94" s="7"/>
      <c r="F94" s="7"/>
      <c r="G94" s="7"/>
      <c r="H94" s="7"/>
    </row>
    <row r="95" spans="1:8" customFormat="1" x14ac:dyDescent="0.2">
      <c r="A95" s="7"/>
      <c r="B95" s="7"/>
      <c r="C95" s="7"/>
      <c r="D95" s="7"/>
      <c r="E95" s="7"/>
      <c r="F95" s="7"/>
      <c r="G95" s="7"/>
      <c r="H95" s="7"/>
    </row>
    <row r="96" spans="1:8" customFormat="1" x14ac:dyDescent="0.2">
      <c r="A96" s="7"/>
      <c r="B96" s="7"/>
      <c r="C96" s="7"/>
      <c r="D96" s="7"/>
      <c r="E96" s="7"/>
      <c r="F96" s="7"/>
      <c r="G96" s="7"/>
      <c r="H96" s="7"/>
    </row>
    <row r="97" spans="1:8" customFormat="1" x14ac:dyDescent="0.2">
      <c r="A97" s="7"/>
      <c r="B97" s="7"/>
      <c r="C97" s="7"/>
      <c r="D97" s="7"/>
      <c r="E97" s="7"/>
      <c r="F97" s="7"/>
      <c r="G97" s="7"/>
      <c r="H97" s="7"/>
    </row>
    <row r="98" spans="1:8" customFormat="1" x14ac:dyDescent="0.2">
      <c r="A98" s="7"/>
      <c r="B98" s="7"/>
      <c r="C98" s="7"/>
      <c r="D98" s="7"/>
      <c r="E98" s="7"/>
      <c r="F98" s="7"/>
      <c r="G98" s="7"/>
      <c r="H98" s="7"/>
    </row>
    <row r="99" spans="1:8" customFormat="1" x14ac:dyDescent="0.2">
      <c r="A99" s="7"/>
      <c r="B99" s="7"/>
      <c r="C99" s="7"/>
      <c r="D99" s="7"/>
      <c r="E99" s="7"/>
      <c r="F99" s="7"/>
      <c r="G99" s="7"/>
      <c r="H99" s="7"/>
    </row>
    <row r="100" spans="1:8" customFormat="1" x14ac:dyDescent="0.2">
      <c r="A100" s="7"/>
      <c r="B100" s="7"/>
      <c r="C100" s="7"/>
      <c r="D100" s="7"/>
      <c r="E100" s="7"/>
      <c r="F100" s="7"/>
      <c r="G100" s="7"/>
      <c r="H100" s="7"/>
    </row>
    <row r="101" spans="1:8" customFormat="1" x14ac:dyDescent="0.2">
      <c r="A101" s="7"/>
      <c r="B101" s="7"/>
      <c r="C101" s="7"/>
      <c r="D101" s="7"/>
      <c r="E101" s="7"/>
      <c r="F101" s="7"/>
      <c r="G101" s="7"/>
      <c r="H101" s="7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C5A6-FCC7-F54B-8ACD-1AF2879265F2}">
  <dimension ref="A1:G154"/>
  <sheetViews>
    <sheetView topLeftCell="A135" workbookViewId="0">
      <selection activeCell="A154" sqref="A154"/>
    </sheetView>
  </sheetViews>
  <sheetFormatPr baseColWidth="10" defaultRowHeight="16" x14ac:dyDescent="0.2"/>
  <cols>
    <col min="1" max="1" width="28" customWidth="1"/>
    <col min="2" max="2" width="42.83203125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  <col min="8" max="16384" width="10.83203125" style="15"/>
  </cols>
  <sheetData>
    <row r="1" spans="1:7" ht="17" thickBot="1" x14ac:dyDescent="0.25">
      <c r="A1" s="35" t="s">
        <v>213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32" t="str">
        <f>"- SOD"</f>
        <v>- SOD</v>
      </c>
      <c r="B2" s="32" t="s">
        <v>19</v>
      </c>
      <c r="C2" s="32">
        <v>0.172833467516357</v>
      </c>
      <c r="D2" s="32">
        <v>0.12169147199543399</v>
      </c>
      <c r="E2" s="32">
        <v>1.8140693577586801E-2</v>
      </c>
      <c r="F2" s="32">
        <v>45</v>
      </c>
      <c r="G2" s="32">
        <v>95.5555555555556</v>
      </c>
    </row>
    <row r="3" spans="1:7" x14ac:dyDescent="0.2">
      <c r="A3" s="5" t="str">
        <f t="shared" ref="A3:A27" si="0">"- SOD"</f>
        <v>- SOD</v>
      </c>
      <c r="B3" s="5" t="s">
        <v>20</v>
      </c>
      <c r="C3" s="5">
        <v>5.5163373489137302E-2</v>
      </c>
      <c r="D3" s="5">
        <v>4.66324524595704E-2</v>
      </c>
      <c r="E3" s="5">
        <v>6.9515555771417796E-3</v>
      </c>
      <c r="F3" s="5">
        <v>45</v>
      </c>
      <c r="G3" s="5">
        <v>93.3333333333333</v>
      </c>
    </row>
    <row r="4" spans="1:7" x14ac:dyDescent="0.2">
      <c r="A4" s="5" t="str">
        <f t="shared" si="0"/>
        <v>- SOD</v>
      </c>
      <c r="B4" s="5" t="s">
        <v>21</v>
      </c>
      <c r="C4" s="5">
        <v>5.0708266329764801E-2</v>
      </c>
      <c r="D4" s="5">
        <v>4.1579484140163499E-2</v>
      </c>
      <c r="E4" s="5">
        <v>6.1983035337853298E-3</v>
      </c>
      <c r="F4" s="5">
        <v>45</v>
      </c>
      <c r="G4" s="5">
        <v>97.7777777777778</v>
      </c>
    </row>
    <row r="5" spans="1:7" x14ac:dyDescent="0.2">
      <c r="A5" s="5" t="str">
        <f t="shared" si="0"/>
        <v>- SOD</v>
      </c>
      <c r="B5" s="5" t="s">
        <v>178</v>
      </c>
      <c r="C5" s="4" t="s">
        <v>149</v>
      </c>
      <c r="D5" s="4" t="s">
        <v>149</v>
      </c>
      <c r="E5" s="4" t="s">
        <v>149</v>
      </c>
      <c r="F5" s="4" t="s">
        <v>149</v>
      </c>
      <c r="G5" s="4" t="s">
        <v>149</v>
      </c>
    </row>
    <row r="6" spans="1:7" x14ac:dyDescent="0.2">
      <c r="A6" s="5" t="str">
        <f t="shared" si="0"/>
        <v>- SOD</v>
      </c>
      <c r="B6" s="5" t="s">
        <v>22</v>
      </c>
      <c r="C6" s="5">
        <v>4.5073728636215803E-2</v>
      </c>
      <c r="D6" s="5">
        <v>1.2701934715174701E-2</v>
      </c>
      <c r="E6" s="5">
        <v>1.8934926312596701E-3</v>
      </c>
      <c r="F6" s="5">
        <v>45</v>
      </c>
      <c r="G6" s="5">
        <v>100</v>
      </c>
    </row>
    <row r="7" spans="1:7" x14ac:dyDescent="0.2">
      <c r="A7" s="5" t="str">
        <f t="shared" si="0"/>
        <v>- SOD</v>
      </c>
      <c r="B7" s="5" t="s">
        <v>23</v>
      </c>
      <c r="C7" s="5">
        <v>4.1463632360168999E-2</v>
      </c>
      <c r="D7" s="5">
        <v>3.5873994729641298E-2</v>
      </c>
      <c r="E7" s="5">
        <v>5.3477793893297997E-3</v>
      </c>
      <c r="F7" s="5">
        <v>45</v>
      </c>
      <c r="G7" s="5">
        <v>100</v>
      </c>
    </row>
    <row r="8" spans="1:7" x14ac:dyDescent="0.2">
      <c r="A8" s="5" t="str">
        <f t="shared" si="0"/>
        <v>- SOD</v>
      </c>
      <c r="B8" s="5" t="s">
        <v>25</v>
      </c>
      <c r="C8" s="5">
        <v>3.6159288840867797E-2</v>
      </c>
      <c r="D8" s="5">
        <v>1.6853932603729499E-2</v>
      </c>
      <c r="E8" s="5">
        <v>2.5124359326759399E-3</v>
      </c>
      <c r="F8" s="5">
        <v>45</v>
      </c>
      <c r="G8" s="5">
        <v>100</v>
      </c>
    </row>
    <row r="9" spans="1:7" x14ac:dyDescent="0.2">
      <c r="A9" s="5" t="str">
        <f t="shared" si="0"/>
        <v>- SOD</v>
      </c>
      <c r="B9" s="5" t="s">
        <v>24</v>
      </c>
      <c r="C9" s="5">
        <v>3.5744021504464103E-2</v>
      </c>
      <c r="D9" s="5">
        <v>2.23452616090654E-2</v>
      </c>
      <c r="E9" s="5">
        <v>3.3310349288591099E-3</v>
      </c>
      <c r="F9" s="5">
        <v>45</v>
      </c>
      <c r="G9" s="5">
        <v>100</v>
      </c>
    </row>
    <row r="10" spans="1:7" x14ac:dyDescent="0.2">
      <c r="A10" s="5" t="str">
        <f t="shared" si="0"/>
        <v>- SOD</v>
      </c>
      <c r="B10" s="5" t="s">
        <v>27</v>
      </c>
      <c r="C10" s="5">
        <v>3.27722377176198E-2</v>
      </c>
      <c r="D10" s="5">
        <v>2.4316113812231799E-2</v>
      </c>
      <c r="E10" s="5">
        <v>3.6248322288514501E-3</v>
      </c>
      <c r="F10" s="5">
        <v>45</v>
      </c>
      <c r="G10" s="5">
        <v>97.7777777777778</v>
      </c>
    </row>
    <row r="11" spans="1:7" x14ac:dyDescent="0.2">
      <c r="A11" s="5" t="str">
        <f t="shared" si="0"/>
        <v>- SOD</v>
      </c>
      <c r="B11" s="5" t="s">
        <v>26</v>
      </c>
      <c r="C11" s="5">
        <v>3.1906667645896399E-2</v>
      </c>
      <c r="D11" s="5">
        <v>2.0486660643895101E-2</v>
      </c>
      <c r="E11" s="5">
        <v>3.05397105544793E-3</v>
      </c>
      <c r="F11" s="5">
        <v>45</v>
      </c>
      <c r="G11" s="5">
        <v>100</v>
      </c>
    </row>
    <row r="12" spans="1:7" x14ac:dyDescent="0.2">
      <c r="A12" s="5" t="str">
        <f t="shared" si="0"/>
        <v>- SOD</v>
      </c>
      <c r="B12" s="5" t="s">
        <v>28</v>
      </c>
      <c r="C12" s="5">
        <v>2.4894312882119501E-2</v>
      </c>
      <c r="D12" s="5">
        <v>1.9198383099275101E-2</v>
      </c>
      <c r="E12" s="5">
        <v>2.8619259778708199E-3</v>
      </c>
      <c r="F12" s="5">
        <v>45</v>
      </c>
      <c r="G12" s="5">
        <v>95.5555555555556</v>
      </c>
    </row>
    <row r="13" spans="1:7" x14ac:dyDescent="0.2">
      <c r="A13" s="5" t="str">
        <f t="shared" si="0"/>
        <v>- SOD</v>
      </c>
      <c r="B13" s="5" t="s">
        <v>29</v>
      </c>
      <c r="C13" s="5">
        <v>2.2818869838341901E-2</v>
      </c>
      <c r="D13" s="5">
        <v>3.1683385419521898E-2</v>
      </c>
      <c r="E13" s="5">
        <v>4.7230802370251098E-3</v>
      </c>
      <c r="F13" s="5">
        <v>45</v>
      </c>
      <c r="G13" s="5">
        <v>91.1111111111111</v>
      </c>
    </row>
    <row r="14" spans="1:7" x14ac:dyDescent="0.2">
      <c r="A14" s="5" t="str">
        <f t="shared" si="0"/>
        <v>- SOD</v>
      </c>
      <c r="B14" s="5" t="s">
        <v>30</v>
      </c>
      <c r="C14" s="5">
        <v>2.2416897003086099E-2</v>
      </c>
      <c r="D14" s="5">
        <v>1.1809934470673401E-2</v>
      </c>
      <c r="E14" s="5">
        <v>1.7605210857495801E-3</v>
      </c>
      <c r="F14" s="5">
        <v>45</v>
      </c>
      <c r="G14" s="5">
        <v>100</v>
      </c>
    </row>
    <row r="15" spans="1:7" x14ac:dyDescent="0.2">
      <c r="A15" s="5" t="str">
        <f t="shared" si="0"/>
        <v>- SOD</v>
      </c>
      <c r="B15" s="5" t="s">
        <v>32</v>
      </c>
      <c r="C15" s="5">
        <v>1.99458191474307E-2</v>
      </c>
      <c r="D15" s="5">
        <v>1.7216928158171298E-2</v>
      </c>
      <c r="E15" s="5">
        <v>2.5665481150267499E-3</v>
      </c>
      <c r="F15" s="5">
        <v>45</v>
      </c>
      <c r="G15" s="5">
        <v>95.5555555555556</v>
      </c>
    </row>
    <row r="16" spans="1:7" x14ac:dyDescent="0.2">
      <c r="A16" s="5" t="str">
        <f t="shared" si="0"/>
        <v>- SOD</v>
      </c>
      <c r="B16" s="5" t="s">
        <v>33</v>
      </c>
      <c r="C16" s="5">
        <v>1.9153675390515001E-2</v>
      </c>
      <c r="D16" s="5">
        <v>1.37171794414066E-2</v>
      </c>
      <c r="E16" s="5">
        <v>2.0448363793698502E-3</v>
      </c>
      <c r="F16" s="5">
        <v>45</v>
      </c>
      <c r="G16" s="5">
        <v>91.1111111111111</v>
      </c>
    </row>
    <row r="17" spans="1:7" x14ac:dyDescent="0.2">
      <c r="A17" s="5" t="str">
        <f t="shared" si="0"/>
        <v>- SOD</v>
      </c>
      <c r="B17" s="5" t="s">
        <v>31</v>
      </c>
      <c r="C17" s="5">
        <v>1.90962540448355E-2</v>
      </c>
      <c r="D17" s="5">
        <v>2.5188322440995201E-2</v>
      </c>
      <c r="E17" s="5">
        <v>3.7548534144832501E-3</v>
      </c>
      <c r="F17" s="5">
        <v>45</v>
      </c>
      <c r="G17" s="5">
        <v>86.6666666666667</v>
      </c>
    </row>
    <row r="18" spans="1:7" x14ac:dyDescent="0.2">
      <c r="A18" s="5" t="str">
        <f t="shared" si="0"/>
        <v>- SOD</v>
      </c>
      <c r="B18" s="5" t="s">
        <v>34</v>
      </c>
      <c r="C18" s="5">
        <v>1.75935561323338E-2</v>
      </c>
      <c r="D18" s="5">
        <v>1.82286310352919E-2</v>
      </c>
      <c r="E18" s="5">
        <v>2.7173638754449999E-3</v>
      </c>
      <c r="F18" s="5">
        <v>45</v>
      </c>
      <c r="G18" s="5">
        <v>95.5555555555556</v>
      </c>
    </row>
    <row r="19" spans="1:7" x14ac:dyDescent="0.2">
      <c r="A19" s="5" t="str">
        <f t="shared" si="0"/>
        <v>- SOD</v>
      </c>
      <c r="B19" s="5" t="s">
        <v>35</v>
      </c>
      <c r="C19" s="5">
        <v>1.5790585746226798E-2</v>
      </c>
      <c r="D19" s="5">
        <v>9.5894930477688003E-3</v>
      </c>
      <c r="E19" s="5">
        <v>1.42951722163818E-3</v>
      </c>
      <c r="F19" s="5">
        <v>45</v>
      </c>
      <c r="G19" s="5">
        <v>97.7777777777778</v>
      </c>
    </row>
    <row r="20" spans="1:7" x14ac:dyDescent="0.2">
      <c r="A20" s="5" t="str">
        <f t="shared" si="0"/>
        <v>- SOD</v>
      </c>
      <c r="B20" s="5" t="s">
        <v>36</v>
      </c>
      <c r="C20" s="5">
        <v>1.43515194750597E-2</v>
      </c>
      <c r="D20" s="5">
        <v>1.39977473067819E-2</v>
      </c>
      <c r="E20" s="5">
        <v>2.0866609673219302E-3</v>
      </c>
      <c r="F20" s="5">
        <v>45</v>
      </c>
      <c r="G20" s="5">
        <v>97.7777777777778</v>
      </c>
    </row>
    <row r="21" spans="1:7" x14ac:dyDescent="0.2">
      <c r="A21" s="5" t="str">
        <f t="shared" si="0"/>
        <v>- SOD</v>
      </c>
      <c r="B21" s="5" t="s">
        <v>38</v>
      </c>
      <c r="C21" s="5">
        <v>1.4100450419681001E-2</v>
      </c>
      <c r="D21" s="5">
        <v>2.5816058924256601E-2</v>
      </c>
      <c r="E21" s="5">
        <v>3.8484308443851901E-3</v>
      </c>
      <c r="F21" s="5">
        <v>45</v>
      </c>
      <c r="G21" s="5">
        <v>73.3333333333333</v>
      </c>
    </row>
    <row r="22" spans="1:7" x14ac:dyDescent="0.2">
      <c r="A22" s="5" t="str">
        <f t="shared" si="0"/>
        <v>- SOD</v>
      </c>
      <c r="B22" s="5" t="s">
        <v>37</v>
      </c>
      <c r="C22" s="5">
        <v>1.40098929392451E-2</v>
      </c>
      <c r="D22" s="5">
        <v>9.3460190829770303E-3</v>
      </c>
      <c r="E22" s="5">
        <v>1.39322226590313E-3</v>
      </c>
      <c r="F22" s="5">
        <v>45</v>
      </c>
      <c r="G22" s="5">
        <v>100</v>
      </c>
    </row>
    <row r="23" spans="1:7" x14ac:dyDescent="0.2">
      <c r="A23" s="5" t="str">
        <f t="shared" si="0"/>
        <v>- SOD</v>
      </c>
      <c r="B23" s="5" t="s">
        <v>39</v>
      </c>
      <c r="C23" s="5">
        <v>1.2882046338095299E-2</v>
      </c>
      <c r="D23" s="5">
        <v>1.26496966165397E-2</v>
      </c>
      <c r="E23" s="5">
        <v>1.88570543528878E-3</v>
      </c>
      <c r="F23" s="5">
        <v>45</v>
      </c>
      <c r="G23" s="5">
        <v>88.8888888888889</v>
      </c>
    </row>
    <row r="24" spans="1:7" x14ac:dyDescent="0.2">
      <c r="A24" s="5" t="str">
        <f t="shared" si="0"/>
        <v>- SOD</v>
      </c>
      <c r="B24" s="5" t="s">
        <v>40</v>
      </c>
      <c r="C24" s="5">
        <v>1.16514859811992E-2</v>
      </c>
      <c r="D24" s="5">
        <v>5.6224672980610801E-3</v>
      </c>
      <c r="E24" s="5">
        <v>8.3814793864894299E-4</v>
      </c>
      <c r="F24" s="5">
        <v>45</v>
      </c>
      <c r="G24" s="5">
        <v>97.7777777777778</v>
      </c>
    </row>
    <row r="25" spans="1:7" x14ac:dyDescent="0.2">
      <c r="A25" s="5" t="str">
        <f t="shared" si="0"/>
        <v>- SOD</v>
      </c>
      <c r="B25" s="5" t="s">
        <v>41</v>
      </c>
      <c r="C25" s="5">
        <v>1.05699713934329E-2</v>
      </c>
      <c r="D25" s="5">
        <v>1.0341583584239099E-2</v>
      </c>
      <c r="E25" s="5">
        <v>1.5416322592903E-3</v>
      </c>
      <c r="F25" s="5">
        <v>45</v>
      </c>
      <c r="G25" s="5">
        <v>82.2222222222222</v>
      </c>
    </row>
    <row r="26" spans="1:7" x14ac:dyDescent="0.2">
      <c r="A26" s="5" t="str">
        <f t="shared" si="0"/>
        <v>- SOD</v>
      </c>
      <c r="B26" s="5" t="s">
        <v>42</v>
      </c>
      <c r="C26" s="5">
        <v>8.1313537569538703E-3</v>
      </c>
      <c r="D26" s="5">
        <v>8.4872219633152397E-3</v>
      </c>
      <c r="E26" s="5">
        <v>1.26520035000681E-3</v>
      </c>
      <c r="F26" s="5">
        <v>45</v>
      </c>
      <c r="G26" s="5">
        <v>86.6666666666667</v>
      </c>
    </row>
    <row r="27" spans="1:7" x14ac:dyDescent="0.2">
      <c r="A27" s="5" t="str">
        <f t="shared" si="0"/>
        <v>- SOD</v>
      </c>
      <c r="B27" s="5" t="s">
        <v>44</v>
      </c>
      <c r="C27" s="5">
        <v>8.09030857609974E-3</v>
      </c>
      <c r="D27" s="5">
        <v>5.2604003718739198E-3</v>
      </c>
      <c r="E27" s="5">
        <v>7.8417418802501798E-4</v>
      </c>
      <c r="F27" s="5">
        <v>45</v>
      </c>
      <c r="G27" s="5">
        <v>93.3333333333333</v>
      </c>
    </row>
    <row r="28" spans="1:7" x14ac:dyDescent="0.2">
      <c r="A28" s="5" t="s">
        <v>65</v>
      </c>
      <c r="B28" s="5" t="s">
        <v>19</v>
      </c>
      <c r="C28" s="5">
        <v>0.14564846559002601</v>
      </c>
      <c r="D28" s="5">
        <v>9.6203107008163799E-2</v>
      </c>
      <c r="E28" s="5">
        <v>2.09932390454689E-2</v>
      </c>
      <c r="F28" s="5">
        <v>21</v>
      </c>
      <c r="G28" s="5">
        <v>100</v>
      </c>
    </row>
    <row r="29" spans="1:7" x14ac:dyDescent="0.2">
      <c r="A29" s="5" t="s">
        <v>65</v>
      </c>
      <c r="B29" s="5" t="s">
        <v>20</v>
      </c>
      <c r="C29" s="5">
        <v>5.8920176971195497E-2</v>
      </c>
      <c r="D29" s="5">
        <v>6.5331368172410795E-2</v>
      </c>
      <c r="E29" s="5">
        <v>1.4256473328814301E-2</v>
      </c>
      <c r="F29" s="5">
        <v>21</v>
      </c>
      <c r="G29" s="5">
        <v>100</v>
      </c>
    </row>
    <row r="30" spans="1:7" x14ac:dyDescent="0.2">
      <c r="A30" s="5" t="s">
        <v>65</v>
      </c>
      <c r="B30" s="5" t="s">
        <v>23</v>
      </c>
      <c r="C30" s="5">
        <v>4.1768098732252998E-2</v>
      </c>
      <c r="D30" s="5">
        <v>3.6757635404649699E-2</v>
      </c>
      <c r="E30" s="5">
        <v>8.0211736480664906E-3</v>
      </c>
      <c r="F30" s="5">
        <v>21</v>
      </c>
      <c r="G30" s="5">
        <v>100</v>
      </c>
    </row>
    <row r="31" spans="1:7" x14ac:dyDescent="0.2">
      <c r="A31" s="5" t="s">
        <v>65</v>
      </c>
      <c r="B31" s="5" t="s">
        <v>178</v>
      </c>
      <c r="C31" s="41" t="s">
        <v>149</v>
      </c>
      <c r="D31" s="42" t="s">
        <v>149</v>
      </c>
      <c r="E31" s="42" t="s">
        <v>149</v>
      </c>
      <c r="F31" s="42" t="s">
        <v>149</v>
      </c>
      <c r="G31" s="42" t="s">
        <v>149</v>
      </c>
    </row>
    <row r="32" spans="1:7" x14ac:dyDescent="0.2">
      <c r="A32" s="5" t="s">
        <v>65</v>
      </c>
      <c r="B32" s="5" t="s">
        <v>21</v>
      </c>
      <c r="C32" s="5">
        <v>3.6722644386539702E-2</v>
      </c>
      <c r="D32" s="5">
        <v>3.2144916023718099E-2</v>
      </c>
      <c r="E32" s="5">
        <v>7.0145957565089104E-3</v>
      </c>
      <c r="F32" s="5">
        <v>21</v>
      </c>
      <c r="G32" s="5">
        <v>95.238095238095198</v>
      </c>
    </row>
    <row r="33" spans="1:7" x14ac:dyDescent="0.2">
      <c r="A33" s="5" t="s">
        <v>65</v>
      </c>
      <c r="B33" s="5" t="s">
        <v>22</v>
      </c>
      <c r="C33" s="5">
        <v>3.6708954462472597E-2</v>
      </c>
      <c r="D33" s="5">
        <v>1.5943804515479401E-2</v>
      </c>
      <c r="E33" s="5">
        <v>3.479223383703E-3</v>
      </c>
      <c r="F33" s="5">
        <v>21</v>
      </c>
      <c r="G33" s="5">
        <v>100</v>
      </c>
    </row>
    <row r="34" spans="1:7" x14ac:dyDescent="0.2">
      <c r="A34" s="5" t="s">
        <v>65</v>
      </c>
      <c r="B34" s="5" t="s">
        <v>25</v>
      </c>
      <c r="C34" s="5">
        <v>3.2558616186852303E-2</v>
      </c>
      <c r="D34" s="5">
        <v>1.9249492801212E-2</v>
      </c>
      <c r="E34" s="5">
        <v>4.2005837071934097E-3</v>
      </c>
      <c r="F34" s="5">
        <v>21</v>
      </c>
      <c r="G34" s="5">
        <v>100</v>
      </c>
    </row>
    <row r="35" spans="1:7" x14ac:dyDescent="0.2">
      <c r="A35" s="5" t="s">
        <v>65</v>
      </c>
      <c r="B35" s="5" t="s">
        <v>24</v>
      </c>
      <c r="C35" s="5">
        <v>2.7607004290162301E-2</v>
      </c>
      <c r="D35" s="5">
        <v>1.60945845485185E-2</v>
      </c>
      <c r="E35" s="5">
        <v>3.5121262844025202E-3</v>
      </c>
      <c r="F35" s="5">
        <v>21</v>
      </c>
      <c r="G35" s="5">
        <v>95.238095238095198</v>
      </c>
    </row>
    <row r="36" spans="1:7" x14ac:dyDescent="0.2">
      <c r="A36" s="5" t="s">
        <v>65</v>
      </c>
      <c r="B36" s="5" t="s">
        <v>26</v>
      </c>
      <c r="C36" s="5">
        <v>2.6414173198327499E-2</v>
      </c>
      <c r="D36" s="5">
        <v>1.3423099491885301E-2</v>
      </c>
      <c r="E36" s="5">
        <v>2.9291604515470299E-3</v>
      </c>
      <c r="F36" s="5">
        <v>21</v>
      </c>
      <c r="G36" s="5">
        <v>100</v>
      </c>
    </row>
    <row r="37" spans="1:7" x14ac:dyDescent="0.2">
      <c r="A37" s="5" t="s">
        <v>65</v>
      </c>
      <c r="B37" s="5" t="s">
        <v>30</v>
      </c>
      <c r="C37" s="5">
        <v>2.4347249181699799E-2</v>
      </c>
      <c r="D37" s="5">
        <v>1.2580844807602101E-2</v>
      </c>
      <c r="E37" s="5">
        <v>2.7453654113013802E-3</v>
      </c>
      <c r="F37" s="5">
        <v>21</v>
      </c>
      <c r="G37" s="5">
        <v>100</v>
      </c>
    </row>
    <row r="38" spans="1:7" x14ac:dyDescent="0.2">
      <c r="A38" s="5" t="s">
        <v>65</v>
      </c>
      <c r="B38" s="5" t="s">
        <v>43</v>
      </c>
      <c r="C38" s="5">
        <v>2.4114863777658101E-2</v>
      </c>
      <c r="D38" s="5">
        <v>2.9286118138758199E-2</v>
      </c>
      <c r="E38" s="5">
        <v>6.3907549134418502E-3</v>
      </c>
      <c r="F38" s="5">
        <v>21</v>
      </c>
      <c r="G38" s="5">
        <v>85.714285714285694</v>
      </c>
    </row>
    <row r="39" spans="1:7" x14ac:dyDescent="0.2">
      <c r="A39" s="5" t="s">
        <v>65</v>
      </c>
      <c r="B39" s="5" t="s">
        <v>27</v>
      </c>
      <c r="C39" s="5">
        <v>2.2691468991394102E-2</v>
      </c>
      <c r="D39" s="5">
        <v>1.7332732355418899E-2</v>
      </c>
      <c r="E39" s="5">
        <v>3.7823122866246402E-3</v>
      </c>
      <c r="F39" s="5">
        <v>21</v>
      </c>
      <c r="G39" s="5">
        <v>95.238095238095198</v>
      </c>
    </row>
    <row r="40" spans="1:7" x14ac:dyDescent="0.2">
      <c r="A40" s="5" t="s">
        <v>65</v>
      </c>
      <c r="B40" s="5" t="s">
        <v>28</v>
      </c>
      <c r="C40" s="5">
        <v>2.2026346166765E-2</v>
      </c>
      <c r="D40" s="5">
        <v>1.7867270265502399E-2</v>
      </c>
      <c r="E40" s="5">
        <v>3.8989580216142001E-3</v>
      </c>
      <c r="F40" s="5">
        <v>21</v>
      </c>
      <c r="G40" s="5">
        <v>100</v>
      </c>
    </row>
    <row r="41" spans="1:7" x14ac:dyDescent="0.2">
      <c r="A41" s="5" t="s">
        <v>65</v>
      </c>
      <c r="B41" s="5" t="s">
        <v>38</v>
      </c>
      <c r="C41" s="5">
        <v>2.1340186687082201E-2</v>
      </c>
      <c r="D41" s="5">
        <v>3.5369546831200499E-2</v>
      </c>
      <c r="E41" s="5">
        <v>7.7182678881077002E-3</v>
      </c>
      <c r="F41" s="5">
        <v>21</v>
      </c>
      <c r="G41" s="5">
        <v>85.714285714285694</v>
      </c>
    </row>
    <row r="42" spans="1:7" x14ac:dyDescent="0.2">
      <c r="A42" s="5" t="s">
        <v>65</v>
      </c>
      <c r="B42" s="5" t="s">
        <v>32</v>
      </c>
      <c r="C42" s="5">
        <v>1.8681038818904198E-2</v>
      </c>
      <c r="D42" s="5">
        <v>1.6630656807165099E-2</v>
      </c>
      <c r="E42" s="5">
        <v>3.6291068416984102E-3</v>
      </c>
      <c r="F42" s="5">
        <v>21</v>
      </c>
      <c r="G42" s="5">
        <v>90.476190476190496</v>
      </c>
    </row>
    <row r="43" spans="1:7" x14ac:dyDescent="0.2">
      <c r="A43" s="5" t="s">
        <v>65</v>
      </c>
      <c r="B43" s="5" t="s">
        <v>35</v>
      </c>
      <c r="C43" s="5">
        <v>1.84418215320848E-2</v>
      </c>
      <c r="D43" s="5">
        <v>9.0086724803310307E-3</v>
      </c>
      <c r="E43" s="5">
        <v>1.9658535024848801E-3</v>
      </c>
      <c r="F43" s="5">
        <v>21</v>
      </c>
      <c r="G43" s="5">
        <v>100</v>
      </c>
    </row>
    <row r="44" spans="1:7" x14ac:dyDescent="0.2">
      <c r="A44" s="5" t="s">
        <v>65</v>
      </c>
      <c r="B44" s="5" t="s">
        <v>49</v>
      </c>
      <c r="C44" s="5">
        <v>1.80673643304901E-2</v>
      </c>
      <c r="D44" s="5">
        <v>6.9523226275520197E-2</v>
      </c>
      <c r="E44" s="5">
        <v>1.5171211760243501E-2</v>
      </c>
      <c r="F44" s="5">
        <v>21</v>
      </c>
      <c r="G44" s="5">
        <v>71.428571428571402</v>
      </c>
    </row>
    <row r="45" spans="1:7" x14ac:dyDescent="0.2">
      <c r="A45" s="5" t="s">
        <v>65</v>
      </c>
      <c r="B45" s="5" t="s">
        <v>33</v>
      </c>
      <c r="C45" s="5">
        <v>1.7740166561182699E-2</v>
      </c>
      <c r="D45" s="5">
        <v>1.3168303568000099E-2</v>
      </c>
      <c r="E45" s="5">
        <v>2.87355942259608E-3</v>
      </c>
      <c r="F45" s="5">
        <v>21</v>
      </c>
      <c r="G45" s="5">
        <v>95.238095238095198</v>
      </c>
    </row>
    <row r="46" spans="1:7" x14ac:dyDescent="0.2">
      <c r="A46" s="5" t="s">
        <v>65</v>
      </c>
      <c r="B46" s="5" t="s">
        <v>34</v>
      </c>
      <c r="C46" s="5">
        <v>1.7703334537681699E-2</v>
      </c>
      <c r="D46" s="5">
        <v>1.5384858688300499E-2</v>
      </c>
      <c r="E46" s="5">
        <v>3.35725140453981E-3</v>
      </c>
      <c r="F46" s="5">
        <v>21</v>
      </c>
      <c r="G46" s="5">
        <v>95.238095238095198</v>
      </c>
    </row>
    <row r="47" spans="1:7" x14ac:dyDescent="0.2">
      <c r="A47" s="5" t="s">
        <v>65</v>
      </c>
      <c r="B47" s="5" t="s">
        <v>29</v>
      </c>
      <c r="C47" s="5">
        <v>1.6691748169838899E-2</v>
      </c>
      <c r="D47" s="5">
        <v>1.6034549223068802E-2</v>
      </c>
      <c r="E47" s="5">
        <v>3.4990255023432501E-3</v>
      </c>
      <c r="F47" s="5">
        <v>21</v>
      </c>
      <c r="G47" s="5">
        <v>100</v>
      </c>
    </row>
    <row r="48" spans="1:7" x14ac:dyDescent="0.2">
      <c r="A48" s="5" t="s">
        <v>65</v>
      </c>
      <c r="B48" s="5" t="s">
        <v>31</v>
      </c>
      <c r="C48" s="5">
        <v>1.38936503202072E-2</v>
      </c>
      <c r="D48" s="5">
        <v>1.43723259273717E-2</v>
      </c>
      <c r="E48" s="5">
        <v>3.1362986416551102E-3</v>
      </c>
      <c r="F48" s="5">
        <v>21</v>
      </c>
      <c r="G48" s="5">
        <v>90.476190476190496</v>
      </c>
    </row>
    <row r="49" spans="1:7" x14ac:dyDescent="0.2">
      <c r="A49" s="5" t="s">
        <v>65</v>
      </c>
      <c r="B49" s="5" t="s">
        <v>36</v>
      </c>
      <c r="C49" s="5">
        <v>1.3654080285255299E-2</v>
      </c>
      <c r="D49" s="5">
        <v>1.11564214327002E-2</v>
      </c>
      <c r="E49" s="5">
        <v>2.4345307476274498E-3</v>
      </c>
      <c r="F49" s="5">
        <v>21</v>
      </c>
      <c r="G49" s="5">
        <v>100</v>
      </c>
    </row>
    <row r="50" spans="1:7" x14ac:dyDescent="0.2">
      <c r="A50" s="5" t="s">
        <v>65</v>
      </c>
      <c r="B50" s="5" t="s">
        <v>40</v>
      </c>
      <c r="C50" s="5">
        <v>1.24098317027387E-2</v>
      </c>
      <c r="D50" s="5">
        <v>7.4754951960993004E-3</v>
      </c>
      <c r="E50" s="5">
        <v>1.6312867901620901E-3</v>
      </c>
      <c r="F50" s="5">
        <v>21</v>
      </c>
      <c r="G50" s="5">
        <v>95.238095238095198</v>
      </c>
    </row>
    <row r="51" spans="1:7" x14ac:dyDescent="0.2">
      <c r="A51" s="5" t="s">
        <v>65</v>
      </c>
      <c r="B51" s="5" t="s">
        <v>39</v>
      </c>
      <c r="C51" s="5">
        <v>1.1876984019907199E-2</v>
      </c>
      <c r="D51" s="5">
        <v>1.04135663523296E-2</v>
      </c>
      <c r="E51" s="5">
        <v>2.27242647923789E-3</v>
      </c>
      <c r="F51" s="5">
        <v>21</v>
      </c>
      <c r="G51" s="5">
        <v>95.238095238095198</v>
      </c>
    </row>
    <row r="52" spans="1:7" x14ac:dyDescent="0.2">
      <c r="A52" s="5" t="s">
        <v>65</v>
      </c>
      <c r="B52" s="5" t="s">
        <v>53</v>
      </c>
      <c r="C52" s="5">
        <v>1.04316494987674E-2</v>
      </c>
      <c r="D52" s="5">
        <v>1.5139118432577999E-2</v>
      </c>
      <c r="E52" s="5">
        <v>3.30362648438999E-3</v>
      </c>
      <c r="F52" s="5">
        <v>21</v>
      </c>
      <c r="G52" s="5">
        <v>85.714285714285694</v>
      </c>
    </row>
    <row r="53" spans="1:7" x14ac:dyDescent="0.2">
      <c r="A53" s="5" t="s">
        <v>65</v>
      </c>
      <c r="B53" s="5" t="s">
        <v>37</v>
      </c>
      <c r="C53" s="5">
        <v>1.0154184811621199E-2</v>
      </c>
      <c r="D53" s="5">
        <v>7.7694460368702501E-3</v>
      </c>
      <c r="E53" s="5">
        <v>1.69543212246822E-3</v>
      </c>
      <c r="F53" s="5">
        <v>21</v>
      </c>
      <c r="G53" s="5">
        <v>80.952380952381006</v>
      </c>
    </row>
    <row r="54" spans="1:7" x14ac:dyDescent="0.2">
      <c r="A54" s="5" t="s">
        <v>65</v>
      </c>
      <c r="B54" s="5" t="s">
        <v>41</v>
      </c>
      <c r="C54" s="5">
        <v>9.6153272616329999E-3</v>
      </c>
      <c r="D54" s="5">
        <v>6.9522988746396203E-3</v>
      </c>
      <c r="E54" s="5">
        <v>1.5171159927139201E-3</v>
      </c>
      <c r="F54" s="5">
        <v>21</v>
      </c>
      <c r="G54" s="5">
        <v>85.714285714285694</v>
      </c>
    </row>
    <row r="55" spans="1:7" x14ac:dyDescent="0.2">
      <c r="A55" s="5" t="s">
        <v>65</v>
      </c>
      <c r="B55" s="5" t="s">
        <v>44</v>
      </c>
      <c r="C55" s="5">
        <v>8.1060074781848495E-3</v>
      </c>
      <c r="D55" s="5">
        <v>5.6305439923145396E-3</v>
      </c>
      <c r="E55" s="5">
        <v>1.2286854308838199E-3</v>
      </c>
      <c r="F55" s="5">
        <v>21</v>
      </c>
      <c r="G55" s="5">
        <v>95.238095238095198</v>
      </c>
    </row>
    <row r="56" spans="1:7" x14ac:dyDescent="0.2">
      <c r="A56" s="5" t="s">
        <v>65</v>
      </c>
      <c r="B56" s="5" t="s">
        <v>45</v>
      </c>
      <c r="C56" s="5">
        <v>7.7002887981016998E-3</v>
      </c>
      <c r="D56" s="5">
        <v>6.9696828262978301E-3</v>
      </c>
      <c r="E56" s="5">
        <v>1.5209094819687401E-3</v>
      </c>
      <c r="F56" s="5">
        <v>21</v>
      </c>
      <c r="G56" s="5">
        <v>90.476190476190496</v>
      </c>
    </row>
    <row r="57" spans="1:7" x14ac:dyDescent="0.2">
      <c r="A57" s="5" t="s">
        <v>66</v>
      </c>
      <c r="B57" s="5" t="s">
        <v>19</v>
      </c>
      <c r="C57" s="5">
        <v>8.8561445847243001E-2</v>
      </c>
      <c r="D57" s="5">
        <v>6.70763098044726E-2</v>
      </c>
      <c r="E57" s="5">
        <v>3.35381549022363E-2</v>
      </c>
      <c r="F57" s="5">
        <v>4</v>
      </c>
      <c r="G57" s="5">
        <v>100</v>
      </c>
    </row>
    <row r="58" spans="1:7" x14ac:dyDescent="0.2">
      <c r="A58" s="5" t="s">
        <v>66</v>
      </c>
      <c r="B58" s="5" t="s">
        <v>43</v>
      </c>
      <c r="C58" s="5">
        <v>5.4600866074440098E-2</v>
      </c>
      <c r="D58" s="5">
        <v>4.4072492096302103E-2</v>
      </c>
      <c r="E58" s="5">
        <v>2.20362460481511E-2</v>
      </c>
      <c r="F58" s="5">
        <v>4</v>
      </c>
      <c r="G58" s="5">
        <v>100</v>
      </c>
    </row>
    <row r="59" spans="1:7" x14ac:dyDescent="0.2">
      <c r="A59" s="5" t="s">
        <v>66</v>
      </c>
      <c r="B59" s="5" t="s">
        <v>32</v>
      </c>
      <c r="C59" s="5">
        <v>4.0354518899043103E-2</v>
      </c>
      <c r="D59" s="5">
        <v>5.2531039954572298E-2</v>
      </c>
      <c r="E59" s="5">
        <v>2.62655199772861E-2</v>
      </c>
      <c r="F59" s="5">
        <v>4</v>
      </c>
      <c r="G59" s="5">
        <v>100</v>
      </c>
    </row>
    <row r="60" spans="1:7" x14ac:dyDescent="0.2">
      <c r="A60" s="5" t="s">
        <v>66</v>
      </c>
      <c r="B60" s="5" t="s">
        <v>20</v>
      </c>
      <c r="C60" s="5">
        <v>3.3790451684667801E-2</v>
      </c>
      <c r="D60" s="5">
        <v>3.5683336022247901E-2</v>
      </c>
      <c r="E60" s="5">
        <v>1.7841668011123999E-2</v>
      </c>
      <c r="F60" s="5">
        <v>4</v>
      </c>
      <c r="G60" s="5">
        <v>100</v>
      </c>
    </row>
    <row r="61" spans="1:7" x14ac:dyDescent="0.2">
      <c r="A61" s="5" t="s">
        <v>66</v>
      </c>
      <c r="B61" s="5" t="s">
        <v>25</v>
      </c>
      <c r="C61" s="5">
        <v>3.2039067952489099E-2</v>
      </c>
      <c r="D61" s="5">
        <v>2.32841732227341E-2</v>
      </c>
      <c r="E61" s="5">
        <v>1.1642086611367E-2</v>
      </c>
      <c r="F61" s="5">
        <v>4</v>
      </c>
      <c r="G61" s="5">
        <v>100</v>
      </c>
    </row>
    <row r="62" spans="1:7" x14ac:dyDescent="0.2">
      <c r="A62" s="5" t="s">
        <v>66</v>
      </c>
      <c r="B62" s="5" t="s">
        <v>178</v>
      </c>
      <c r="C62" s="41" t="s">
        <v>149</v>
      </c>
      <c r="D62" s="42" t="s">
        <v>149</v>
      </c>
      <c r="E62" s="42" t="s">
        <v>149</v>
      </c>
      <c r="F62" s="42" t="s">
        <v>149</v>
      </c>
      <c r="G62" s="42" t="s">
        <v>149</v>
      </c>
    </row>
    <row r="63" spans="1:7" x14ac:dyDescent="0.2">
      <c r="A63" s="5" t="s">
        <v>66</v>
      </c>
      <c r="B63" s="5" t="s">
        <v>28</v>
      </c>
      <c r="C63" s="5">
        <v>2.86499250860088E-2</v>
      </c>
      <c r="D63" s="5">
        <v>2.0545025215106798E-2</v>
      </c>
      <c r="E63" s="5">
        <v>1.0272512607553399E-2</v>
      </c>
      <c r="F63" s="5">
        <v>4</v>
      </c>
      <c r="G63" s="5">
        <v>100</v>
      </c>
    </row>
    <row r="64" spans="1:7" x14ac:dyDescent="0.2">
      <c r="A64" s="5" t="s">
        <v>66</v>
      </c>
      <c r="B64" s="5" t="s">
        <v>23</v>
      </c>
      <c r="C64" s="5">
        <v>2.8511396773464499E-2</v>
      </c>
      <c r="D64" s="5">
        <v>9.6106481726871001E-3</v>
      </c>
      <c r="E64" s="5">
        <v>4.8053240863435501E-3</v>
      </c>
      <c r="F64" s="5">
        <v>4</v>
      </c>
      <c r="G64" s="5">
        <v>100</v>
      </c>
    </row>
    <row r="65" spans="1:7" x14ac:dyDescent="0.2">
      <c r="A65" s="5" t="s">
        <v>66</v>
      </c>
      <c r="B65" s="5" t="s">
        <v>26</v>
      </c>
      <c r="C65" s="5">
        <v>2.7884387614112702E-2</v>
      </c>
      <c r="D65" s="5">
        <v>1.7376634396754902E-2</v>
      </c>
      <c r="E65" s="5">
        <v>8.68831719837743E-3</v>
      </c>
      <c r="F65" s="5">
        <v>4</v>
      </c>
      <c r="G65" s="5">
        <v>100</v>
      </c>
    </row>
    <row r="66" spans="1:7" x14ac:dyDescent="0.2">
      <c r="A66" s="5" t="s">
        <v>66</v>
      </c>
      <c r="B66" s="5" t="s">
        <v>31</v>
      </c>
      <c r="C66" s="5">
        <v>2.7646494352667399E-2</v>
      </c>
      <c r="D66" s="5">
        <v>3.2173574063441901E-2</v>
      </c>
      <c r="E66" s="5">
        <v>1.6086787031720898E-2</v>
      </c>
      <c r="F66" s="5">
        <v>4</v>
      </c>
      <c r="G66" s="5">
        <v>100</v>
      </c>
    </row>
    <row r="67" spans="1:7" x14ac:dyDescent="0.2">
      <c r="A67" s="5" t="s">
        <v>66</v>
      </c>
      <c r="B67" s="5" t="s">
        <v>39</v>
      </c>
      <c r="C67" s="5">
        <v>2.6430871659507301E-2</v>
      </c>
      <c r="D67" s="5">
        <v>1.8346823662886799E-2</v>
      </c>
      <c r="E67" s="5">
        <v>9.1734118314433996E-3</v>
      </c>
      <c r="F67" s="5">
        <v>4</v>
      </c>
      <c r="G67" s="5">
        <v>100</v>
      </c>
    </row>
    <row r="68" spans="1:7" x14ac:dyDescent="0.2">
      <c r="A68" s="5" t="s">
        <v>66</v>
      </c>
      <c r="B68" s="5" t="s">
        <v>21</v>
      </c>
      <c r="C68" s="5">
        <v>2.5858869410906399E-2</v>
      </c>
      <c r="D68" s="5">
        <v>1.72583788824433E-2</v>
      </c>
      <c r="E68" s="5">
        <v>8.6291894412216606E-3</v>
      </c>
      <c r="F68" s="5">
        <v>4</v>
      </c>
      <c r="G68" s="5">
        <v>100</v>
      </c>
    </row>
    <row r="69" spans="1:7" x14ac:dyDescent="0.2">
      <c r="A69" s="5" t="s">
        <v>66</v>
      </c>
      <c r="B69" s="5" t="s">
        <v>22</v>
      </c>
      <c r="C69" s="5">
        <v>2.5596003500169998E-2</v>
      </c>
      <c r="D69" s="5">
        <v>8.8945974143528894E-3</v>
      </c>
      <c r="E69" s="5">
        <v>4.4472987071764404E-3</v>
      </c>
      <c r="F69" s="5">
        <v>4</v>
      </c>
      <c r="G69" s="5">
        <v>100</v>
      </c>
    </row>
    <row r="70" spans="1:7" x14ac:dyDescent="0.2">
      <c r="A70" s="5" t="s">
        <v>66</v>
      </c>
      <c r="B70" s="5" t="s">
        <v>29</v>
      </c>
      <c r="C70" s="5">
        <v>2.3076630144674599E-2</v>
      </c>
      <c r="D70" s="5">
        <v>2.5872140122602898E-2</v>
      </c>
      <c r="E70" s="5">
        <v>1.29360700613015E-2</v>
      </c>
      <c r="F70" s="5">
        <v>4</v>
      </c>
      <c r="G70" s="5">
        <v>100</v>
      </c>
    </row>
    <row r="71" spans="1:7" x14ac:dyDescent="0.2">
      <c r="A71" s="5" t="s">
        <v>66</v>
      </c>
      <c r="B71" s="5" t="s">
        <v>56</v>
      </c>
      <c r="C71" s="5">
        <v>2.1794493191895001E-2</v>
      </c>
      <c r="D71" s="5">
        <v>4.18427011476976E-2</v>
      </c>
      <c r="E71" s="5">
        <v>2.09213505738488E-2</v>
      </c>
      <c r="F71" s="5">
        <v>4</v>
      </c>
      <c r="G71" s="5">
        <v>75</v>
      </c>
    </row>
    <row r="72" spans="1:7" x14ac:dyDescent="0.2">
      <c r="A72" s="5" t="s">
        <v>66</v>
      </c>
      <c r="B72" s="5" t="s">
        <v>38</v>
      </c>
      <c r="C72" s="5">
        <v>2.11083785365433E-2</v>
      </c>
      <c r="D72" s="5">
        <v>2.0420163311088899E-2</v>
      </c>
      <c r="E72" s="5">
        <v>1.0210081655544399E-2</v>
      </c>
      <c r="F72" s="5">
        <v>4</v>
      </c>
      <c r="G72" s="5">
        <v>100</v>
      </c>
    </row>
    <row r="73" spans="1:7" x14ac:dyDescent="0.2">
      <c r="A73" s="5" t="s">
        <v>66</v>
      </c>
      <c r="B73" s="5" t="s">
        <v>61</v>
      </c>
      <c r="C73" s="5">
        <v>1.9106728987074901E-2</v>
      </c>
      <c r="D73" s="5">
        <v>3.2188241173261502E-2</v>
      </c>
      <c r="E73" s="5">
        <v>1.6094120586630699E-2</v>
      </c>
      <c r="F73" s="5">
        <v>4</v>
      </c>
      <c r="G73" s="5">
        <v>75</v>
      </c>
    </row>
    <row r="74" spans="1:7" x14ac:dyDescent="0.2">
      <c r="A74" s="5" t="s">
        <v>66</v>
      </c>
      <c r="B74" s="5" t="s">
        <v>30</v>
      </c>
      <c r="C74" s="5">
        <v>1.8148465913407599E-2</v>
      </c>
      <c r="D74" s="5">
        <v>1.31473160388389E-2</v>
      </c>
      <c r="E74" s="5">
        <v>6.57365801941947E-3</v>
      </c>
      <c r="F74" s="5">
        <v>4</v>
      </c>
      <c r="G74" s="5">
        <v>100</v>
      </c>
    </row>
    <row r="75" spans="1:7" x14ac:dyDescent="0.2">
      <c r="A75" s="5" t="s">
        <v>66</v>
      </c>
      <c r="B75" s="5" t="s">
        <v>34</v>
      </c>
      <c r="C75" s="5">
        <v>1.8002088541563599E-2</v>
      </c>
      <c r="D75" s="5">
        <v>1.5641976118598699E-2</v>
      </c>
      <c r="E75" s="5">
        <v>7.8209880592993702E-3</v>
      </c>
      <c r="F75" s="5">
        <v>4</v>
      </c>
      <c r="G75" s="5">
        <v>100</v>
      </c>
    </row>
    <row r="76" spans="1:7" x14ac:dyDescent="0.2">
      <c r="A76" s="5" t="s">
        <v>66</v>
      </c>
      <c r="B76" s="5" t="s">
        <v>27</v>
      </c>
      <c r="C76" s="5">
        <v>1.7670720064912999E-2</v>
      </c>
      <c r="D76" s="5">
        <v>7.8971701094495105E-3</v>
      </c>
      <c r="E76" s="5">
        <v>3.94858505472475E-3</v>
      </c>
      <c r="F76" s="5">
        <v>4</v>
      </c>
      <c r="G76" s="5">
        <v>100</v>
      </c>
    </row>
    <row r="77" spans="1:7" x14ac:dyDescent="0.2">
      <c r="A77" s="5" t="s">
        <v>66</v>
      </c>
      <c r="B77" s="5" t="s">
        <v>33</v>
      </c>
      <c r="C77" s="5">
        <v>1.75468618089961E-2</v>
      </c>
      <c r="D77" s="5">
        <v>2.66998571354694E-2</v>
      </c>
      <c r="E77" s="5">
        <v>1.33499285677347E-2</v>
      </c>
      <c r="F77" s="5">
        <v>4</v>
      </c>
      <c r="G77" s="5">
        <v>100</v>
      </c>
    </row>
    <row r="78" spans="1:7" x14ac:dyDescent="0.2">
      <c r="A78" s="5" t="s">
        <v>66</v>
      </c>
      <c r="B78" s="5" t="s">
        <v>24</v>
      </c>
      <c r="C78" s="5">
        <v>1.64652257350642E-2</v>
      </c>
      <c r="D78" s="5">
        <v>1.11769075046683E-2</v>
      </c>
      <c r="E78" s="5">
        <v>5.5884537523341396E-3</v>
      </c>
      <c r="F78" s="5">
        <v>4</v>
      </c>
      <c r="G78" s="5">
        <v>100</v>
      </c>
    </row>
    <row r="79" spans="1:7" x14ac:dyDescent="0.2">
      <c r="A79" s="5" t="s">
        <v>66</v>
      </c>
      <c r="B79" s="5" t="s">
        <v>51</v>
      </c>
      <c r="C79" s="5">
        <v>1.3885231946342801E-2</v>
      </c>
      <c r="D79" s="5">
        <v>1.45629606163392E-2</v>
      </c>
      <c r="E79" s="5">
        <v>7.2814803081696E-3</v>
      </c>
      <c r="F79" s="5">
        <v>4</v>
      </c>
      <c r="G79" s="5">
        <v>75</v>
      </c>
    </row>
    <row r="80" spans="1:7" x14ac:dyDescent="0.2">
      <c r="A80" s="5" t="s">
        <v>66</v>
      </c>
      <c r="B80" s="5" t="s">
        <v>35</v>
      </c>
      <c r="C80" s="5">
        <v>1.22931206308285E-2</v>
      </c>
      <c r="D80" s="5">
        <v>7.0368396188256396E-3</v>
      </c>
      <c r="E80" s="5">
        <v>3.5184198094128198E-3</v>
      </c>
      <c r="F80" s="5">
        <v>4</v>
      </c>
      <c r="G80" s="5">
        <v>100</v>
      </c>
    </row>
    <row r="81" spans="1:7" x14ac:dyDescent="0.2">
      <c r="A81" s="5" t="s">
        <v>66</v>
      </c>
      <c r="B81" s="5" t="s">
        <v>53</v>
      </c>
      <c r="C81" s="5">
        <v>1.22339236965948E-2</v>
      </c>
      <c r="D81" s="5">
        <v>1.8205089975343501E-2</v>
      </c>
      <c r="E81" s="5">
        <v>9.1025449876717696E-3</v>
      </c>
      <c r="F81" s="5">
        <v>4</v>
      </c>
      <c r="G81" s="5">
        <v>75</v>
      </c>
    </row>
    <row r="82" spans="1:7" x14ac:dyDescent="0.2">
      <c r="A82" s="5" t="s">
        <v>66</v>
      </c>
      <c r="B82" s="5" t="s">
        <v>44</v>
      </c>
      <c r="C82" s="5">
        <v>1.18109186992116E-2</v>
      </c>
      <c r="D82" s="5">
        <v>7.73294816549584E-3</v>
      </c>
      <c r="E82" s="5">
        <v>3.86647408274792E-3</v>
      </c>
      <c r="F82" s="5">
        <v>4</v>
      </c>
      <c r="G82" s="5">
        <v>100</v>
      </c>
    </row>
    <row r="83" spans="1:7" x14ac:dyDescent="0.2">
      <c r="A83" s="5" t="s">
        <v>66</v>
      </c>
      <c r="B83" s="5" t="s">
        <v>52</v>
      </c>
      <c r="C83" s="5">
        <v>1.1484369214733999E-2</v>
      </c>
      <c r="D83" s="5">
        <v>1.02057241172705E-2</v>
      </c>
      <c r="E83" s="5">
        <v>5.1028620586352699E-3</v>
      </c>
      <c r="F83" s="5">
        <v>4</v>
      </c>
      <c r="G83" s="5">
        <v>75</v>
      </c>
    </row>
    <row r="84" spans="1:7" x14ac:dyDescent="0.2">
      <c r="A84" s="5" t="s">
        <v>66</v>
      </c>
      <c r="B84" s="5" t="s">
        <v>58</v>
      </c>
      <c r="C84" s="5">
        <v>1.1205170260522901E-2</v>
      </c>
      <c r="D84" s="5">
        <v>1.2055389060869399E-2</v>
      </c>
      <c r="E84" s="5">
        <v>6.0276945304346798E-3</v>
      </c>
      <c r="F84" s="5">
        <v>4</v>
      </c>
      <c r="G84" s="5">
        <v>100</v>
      </c>
    </row>
    <row r="85" spans="1:7" x14ac:dyDescent="0.2">
      <c r="A85" s="5" t="s">
        <v>66</v>
      </c>
      <c r="B85" s="5" t="s">
        <v>47</v>
      </c>
      <c r="C85" s="5">
        <v>1.06273226021162E-2</v>
      </c>
      <c r="D85" s="5">
        <v>6.3711708487100499E-3</v>
      </c>
      <c r="E85" s="5">
        <v>3.1855854243550302E-3</v>
      </c>
      <c r="F85" s="5">
        <v>4</v>
      </c>
      <c r="G85" s="5">
        <v>100</v>
      </c>
    </row>
    <row r="86" spans="1:7" x14ac:dyDescent="0.2">
      <c r="A86" s="5" t="s">
        <v>66</v>
      </c>
      <c r="B86" s="5" t="s">
        <v>46</v>
      </c>
      <c r="C86" s="5">
        <v>9.5135842768356692E-3</v>
      </c>
      <c r="D86" s="5">
        <v>1.2301005107979299E-2</v>
      </c>
      <c r="E86" s="5">
        <v>6.1505025539896297E-3</v>
      </c>
      <c r="F86" s="5">
        <v>4</v>
      </c>
      <c r="G86" s="5">
        <v>100</v>
      </c>
    </row>
    <row r="87" spans="1:7" x14ac:dyDescent="0.2">
      <c r="A87" s="5" t="s">
        <v>66</v>
      </c>
      <c r="B87" s="5" t="s">
        <v>36</v>
      </c>
      <c r="C87" s="5">
        <v>9.0736137212156197E-3</v>
      </c>
      <c r="D87" s="5">
        <v>6.73975406914765E-3</v>
      </c>
      <c r="E87" s="5">
        <v>3.3698770345738302E-3</v>
      </c>
      <c r="F87" s="5">
        <v>4</v>
      </c>
      <c r="G87" s="5">
        <v>100</v>
      </c>
    </row>
    <row r="88" spans="1:7" x14ac:dyDescent="0.2">
      <c r="A88" s="5" t="s">
        <v>66</v>
      </c>
      <c r="B88" s="5" t="s">
        <v>41</v>
      </c>
      <c r="C88" s="5">
        <v>8.4603534933910193E-3</v>
      </c>
      <c r="D88" s="5">
        <v>4.8781487615479303E-3</v>
      </c>
      <c r="E88" s="5">
        <v>2.4390743807739699E-3</v>
      </c>
      <c r="F88" s="5">
        <v>4</v>
      </c>
      <c r="G88" s="5">
        <v>100</v>
      </c>
    </row>
    <row r="89" spans="1:7" x14ac:dyDescent="0.2">
      <c r="A89" s="5" t="s">
        <v>67</v>
      </c>
      <c r="B89" s="5" t="s">
        <v>19</v>
      </c>
      <c r="C89" s="5">
        <v>0.11435302970292401</v>
      </c>
      <c r="D89" s="5">
        <v>0.124541372250045</v>
      </c>
      <c r="E89" s="5">
        <v>4.70722141303343E-2</v>
      </c>
      <c r="F89" s="5">
        <v>7</v>
      </c>
      <c r="G89" s="5">
        <v>100</v>
      </c>
    </row>
    <row r="90" spans="1:7" x14ac:dyDescent="0.2">
      <c r="A90" s="5" t="s">
        <v>67</v>
      </c>
      <c r="B90" s="5" t="s">
        <v>22</v>
      </c>
      <c r="C90" s="5">
        <v>4.1866780367929901E-2</v>
      </c>
      <c r="D90" s="5">
        <v>1.1539254847727101E-2</v>
      </c>
      <c r="E90" s="5">
        <v>4.3614283774403304E-3</v>
      </c>
      <c r="F90" s="5">
        <v>7</v>
      </c>
      <c r="G90" s="5">
        <v>100</v>
      </c>
    </row>
    <row r="91" spans="1:7" x14ac:dyDescent="0.2">
      <c r="A91" s="5" t="s">
        <v>67</v>
      </c>
      <c r="B91" s="5" t="s">
        <v>24</v>
      </c>
      <c r="C91" s="5">
        <v>3.7097471426424798E-2</v>
      </c>
      <c r="D91" s="5">
        <v>3.35942765553097E-2</v>
      </c>
      <c r="E91" s="5">
        <v>1.2697443034353899E-2</v>
      </c>
      <c r="F91" s="5">
        <v>7</v>
      </c>
      <c r="G91" s="5">
        <v>100</v>
      </c>
    </row>
    <row r="92" spans="1:7" x14ac:dyDescent="0.2">
      <c r="A92" s="5" t="s">
        <v>67</v>
      </c>
      <c r="B92" s="5" t="s">
        <v>178</v>
      </c>
      <c r="C92" s="41" t="s">
        <v>149</v>
      </c>
      <c r="D92" s="42" t="s">
        <v>149</v>
      </c>
      <c r="E92" s="42" t="s">
        <v>149</v>
      </c>
      <c r="F92" s="42" t="s">
        <v>149</v>
      </c>
      <c r="G92" s="42" t="s">
        <v>149</v>
      </c>
    </row>
    <row r="93" spans="1:7" x14ac:dyDescent="0.2">
      <c r="A93" s="5" t="s">
        <v>67</v>
      </c>
      <c r="B93" s="5" t="s">
        <v>26</v>
      </c>
      <c r="C93" s="5">
        <v>2.9902437588716E-2</v>
      </c>
      <c r="D93" s="5">
        <v>2.7009797814108401E-2</v>
      </c>
      <c r="E93" s="5">
        <v>1.02087439968953E-2</v>
      </c>
      <c r="F93" s="5">
        <v>7</v>
      </c>
      <c r="G93" s="5">
        <v>100</v>
      </c>
    </row>
    <row r="94" spans="1:7" x14ac:dyDescent="0.2">
      <c r="A94" s="5" t="s">
        <v>67</v>
      </c>
      <c r="B94" s="5" t="s">
        <v>29</v>
      </c>
      <c r="C94" s="5">
        <v>2.68518897884488E-2</v>
      </c>
      <c r="D94" s="5">
        <v>3.0409278289363101E-2</v>
      </c>
      <c r="E94" s="5">
        <v>1.14936268432301E-2</v>
      </c>
      <c r="F94" s="5">
        <v>7</v>
      </c>
      <c r="G94" s="5">
        <v>100</v>
      </c>
    </row>
    <row r="95" spans="1:7" x14ac:dyDescent="0.2">
      <c r="A95" s="5" t="s">
        <v>67</v>
      </c>
      <c r="B95" s="5" t="s">
        <v>20</v>
      </c>
      <c r="C95" s="5">
        <v>2.57043486657123E-2</v>
      </c>
      <c r="D95" s="5">
        <v>3.7070550580133699E-2</v>
      </c>
      <c r="E95" s="5">
        <v>1.40113511141821E-2</v>
      </c>
      <c r="F95" s="5">
        <v>7</v>
      </c>
      <c r="G95" s="5">
        <v>85.714285714285694</v>
      </c>
    </row>
    <row r="96" spans="1:7" x14ac:dyDescent="0.2">
      <c r="A96" s="5" t="s">
        <v>67</v>
      </c>
      <c r="B96" s="5" t="s">
        <v>27</v>
      </c>
      <c r="C96" s="5">
        <v>2.5492517695774101E-2</v>
      </c>
      <c r="D96" s="5">
        <v>2.5991369075746801E-2</v>
      </c>
      <c r="E96" s="5">
        <v>9.8238141155029598E-3</v>
      </c>
      <c r="F96" s="5">
        <v>7</v>
      </c>
      <c r="G96" s="5">
        <v>100</v>
      </c>
    </row>
    <row r="97" spans="1:7" x14ac:dyDescent="0.2">
      <c r="A97" s="5" t="s">
        <v>67</v>
      </c>
      <c r="B97" s="5" t="s">
        <v>30</v>
      </c>
      <c r="C97" s="5">
        <v>2.5425351983264899E-2</v>
      </c>
      <c r="D97" s="5">
        <v>1.6085780718439299E-2</v>
      </c>
      <c r="E97" s="5">
        <v>6.0798536321868902E-3</v>
      </c>
      <c r="F97" s="5">
        <v>7</v>
      </c>
      <c r="G97" s="5">
        <v>100</v>
      </c>
    </row>
    <row r="98" spans="1:7" x14ac:dyDescent="0.2">
      <c r="A98" s="5" t="s">
        <v>67</v>
      </c>
      <c r="B98" s="5" t="s">
        <v>23</v>
      </c>
      <c r="C98" s="5">
        <v>2.3726622762778801E-2</v>
      </c>
      <c r="D98" s="5">
        <v>1.32803135241862E-2</v>
      </c>
      <c r="E98" s="5">
        <v>5.0194867025663602E-3</v>
      </c>
      <c r="F98" s="5">
        <v>7</v>
      </c>
      <c r="G98" s="5">
        <v>100</v>
      </c>
    </row>
    <row r="99" spans="1:7" x14ac:dyDescent="0.2">
      <c r="A99" s="5" t="s">
        <v>67</v>
      </c>
      <c r="B99" s="5" t="s">
        <v>28</v>
      </c>
      <c r="C99" s="5">
        <v>2.3722357656485699E-2</v>
      </c>
      <c r="D99" s="5">
        <v>1.7341190331251002E-2</v>
      </c>
      <c r="E99" s="5">
        <v>6.5543538649039798E-3</v>
      </c>
      <c r="F99" s="5">
        <v>7</v>
      </c>
      <c r="G99" s="5">
        <v>85.714285714285694</v>
      </c>
    </row>
    <row r="100" spans="1:7" x14ac:dyDescent="0.2">
      <c r="A100" s="5" t="s">
        <v>67</v>
      </c>
      <c r="B100" s="5" t="s">
        <v>25</v>
      </c>
      <c r="C100" s="5">
        <v>2.19854942569313E-2</v>
      </c>
      <c r="D100" s="5">
        <v>1.4841758080931499E-2</v>
      </c>
      <c r="E100" s="5">
        <v>5.6096572715897304E-3</v>
      </c>
      <c r="F100" s="5">
        <v>7</v>
      </c>
      <c r="G100" s="5">
        <v>100</v>
      </c>
    </row>
    <row r="101" spans="1:7" x14ac:dyDescent="0.2">
      <c r="A101" s="5" t="s">
        <v>67</v>
      </c>
      <c r="B101" s="5" t="s">
        <v>43</v>
      </c>
      <c r="C101" s="5">
        <v>2.1871966606667199E-2</v>
      </c>
      <c r="D101" s="5">
        <v>1.6803946194729798E-2</v>
      </c>
      <c r="E101" s="5">
        <v>6.3512946679664698E-3</v>
      </c>
      <c r="F101" s="5">
        <v>7</v>
      </c>
      <c r="G101" s="5">
        <v>85.714285714285694</v>
      </c>
    </row>
    <row r="102" spans="1:7" x14ac:dyDescent="0.2">
      <c r="A102" s="5" t="s">
        <v>67</v>
      </c>
      <c r="B102" s="5" t="s">
        <v>36</v>
      </c>
      <c r="C102" s="5">
        <v>2.1219929594850799E-2</v>
      </c>
      <c r="D102" s="5">
        <v>9.1331288534160903E-3</v>
      </c>
      <c r="E102" s="5">
        <v>3.4519982340067801E-3</v>
      </c>
      <c r="F102" s="5">
        <v>7</v>
      </c>
      <c r="G102" s="5">
        <v>100</v>
      </c>
    </row>
    <row r="103" spans="1:7" x14ac:dyDescent="0.2">
      <c r="A103" s="5" t="s">
        <v>67</v>
      </c>
      <c r="B103" s="5" t="s">
        <v>34</v>
      </c>
      <c r="C103" s="5">
        <v>2.0806703849802301E-2</v>
      </c>
      <c r="D103" s="5">
        <v>3.0372471063295998E-2</v>
      </c>
      <c r="E103" s="5">
        <v>1.14797150194267E-2</v>
      </c>
      <c r="F103" s="5">
        <v>7</v>
      </c>
      <c r="G103" s="5">
        <v>85.714285714285694</v>
      </c>
    </row>
    <row r="104" spans="1:7" x14ac:dyDescent="0.2">
      <c r="A104" s="5" t="s">
        <v>67</v>
      </c>
      <c r="B104" s="5" t="s">
        <v>32</v>
      </c>
      <c r="C104" s="5">
        <v>1.98933204101715E-2</v>
      </c>
      <c r="D104" s="5">
        <v>1.10012799301311E-2</v>
      </c>
      <c r="E104" s="5">
        <v>4.1580929712189997E-3</v>
      </c>
      <c r="F104" s="5">
        <v>7</v>
      </c>
      <c r="G104" s="5">
        <v>100</v>
      </c>
    </row>
    <row r="105" spans="1:7" x14ac:dyDescent="0.2">
      <c r="A105" s="5" t="s">
        <v>67</v>
      </c>
      <c r="B105" s="5" t="s">
        <v>35</v>
      </c>
      <c r="C105" s="5">
        <v>1.9206830720231601E-2</v>
      </c>
      <c r="D105" s="5">
        <v>1.7552905094345699E-2</v>
      </c>
      <c r="E105" s="5">
        <v>6.6343745237653498E-3</v>
      </c>
      <c r="F105" s="5">
        <v>7</v>
      </c>
      <c r="G105" s="5">
        <v>100</v>
      </c>
    </row>
    <row r="106" spans="1:7" x14ac:dyDescent="0.2">
      <c r="A106" s="5" t="s">
        <v>67</v>
      </c>
      <c r="B106" s="5" t="s">
        <v>44</v>
      </c>
      <c r="C106" s="5">
        <v>1.91051601418658E-2</v>
      </c>
      <c r="D106" s="5">
        <v>1.6756474780521498E-2</v>
      </c>
      <c r="E106" s="5">
        <v>6.3333521599122202E-3</v>
      </c>
      <c r="F106" s="5">
        <v>7</v>
      </c>
      <c r="G106" s="5">
        <v>85.714285714285694</v>
      </c>
    </row>
    <row r="107" spans="1:7" x14ac:dyDescent="0.2">
      <c r="A107" s="5" t="s">
        <v>67</v>
      </c>
      <c r="B107" s="5" t="s">
        <v>21</v>
      </c>
      <c r="C107" s="5">
        <v>1.6535685932925901E-2</v>
      </c>
      <c r="D107" s="5">
        <v>1.1890484110882799E-2</v>
      </c>
      <c r="E107" s="5">
        <v>4.4941805607944096E-3</v>
      </c>
      <c r="F107" s="5">
        <v>7</v>
      </c>
      <c r="G107" s="5">
        <v>100</v>
      </c>
    </row>
    <row r="108" spans="1:7" x14ac:dyDescent="0.2">
      <c r="A108" s="5" t="s">
        <v>67</v>
      </c>
      <c r="B108" s="5" t="s">
        <v>31</v>
      </c>
      <c r="C108" s="5">
        <v>1.27303847502364E-2</v>
      </c>
      <c r="D108" s="5">
        <v>8.40241824834621E-3</v>
      </c>
      <c r="E108" s="5">
        <v>3.17581558523929E-3</v>
      </c>
      <c r="F108" s="5">
        <v>7</v>
      </c>
      <c r="G108" s="5">
        <v>85.714285714285694</v>
      </c>
    </row>
    <row r="109" spans="1:7" x14ac:dyDescent="0.2">
      <c r="A109" s="5" t="s">
        <v>67</v>
      </c>
      <c r="B109" s="5" t="s">
        <v>39</v>
      </c>
      <c r="C109" s="5">
        <v>1.19964583142004E-2</v>
      </c>
      <c r="D109" s="5">
        <v>1.7738026855187401E-2</v>
      </c>
      <c r="E109" s="5">
        <v>6.7043439725444302E-3</v>
      </c>
      <c r="F109" s="5">
        <v>7</v>
      </c>
      <c r="G109" s="5">
        <v>71.428571428571402</v>
      </c>
    </row>
    <row r="110" spans="1:7" x14ac:dyDescent="0.2">
      <c r="A110" s="5" t="s">
        <v>67</v>
      </c>
      <c r="B110" s="5" t="s">
        <v>40</v>
      </c>
      <c r="C110" s="5">
        <v>1.18484762996196E-2</v>
      </c>
      <c r="D110" s="5">
        <v>6.6233485613235296E-3</v>
      </c>
      <c r="E110" s="5">
        <v>2.5033904485370702E-3</v>
      </c>
      <c r="F110" s="5">
        <v>7</v>
      </c>
      <c r="G110" s="5">
        <v>100</v>
      </c>
    </row>
    <row r="111" spans="1:7" x14ac:dyDescent="0.2">
      <c r="A111" s="5" t="s">
        <v>67</v>
      </c>
      <c r="B111" s="5" t="s">
        <v>41</v>
      </c>
      <c r="C111" s="5">
        <v>1.1810005668333E-2</v>
      </c>
      <c r="D111" s="5">
        <v>9.3947297420839005E-3</v>
      </c>
      <c r="E111" s="5">
        <v>3.5508740760308499E-3</v>
      </c>
      <c r="F111" s="5">
        <v>7</v>
      </c>
      <c r="G111" s="5">
        <v>100</v>
      </c>
    </row>
    <row r="112" spans="1:7" x14ac:dyDescent="0.2">
      <c r="A112" s="5" t="s">
        <v>67</v>
      </c>
      <c r="B112" s="5" t="s">
        <v>37</v>
      </c>
      <c r="C112" s="5">
        <v>1.13099983478039E-2</v>
      </c>
      <c r="D112" s="5">
        <v>8.0984222439173699E-3</v>
      </c>
      <c r="E112" s="5">
        <v>3.0609158956284299E-3</v>
      </c>
      <c r="F112" s="5">
        <v>7</v>
      </c>
      <c r="G112" s="5">
        <v>100</v>
      </c>
    </row>
    <row r="113" spans="1:7" x14ac:dyDescent="0.2">
      <c r="A113" s="5" t="s">
        <v>67</v>
      </c>
      <c r="B113" s="5" t="s">
        <v>59</v>
      </c>
      <c r="C113" s="5">
        <v>1.0877898340286501E-2</v>
      </c>
      <c r="D113" s="5">
        <v>2.5959762778132299E-2</v>
      </c>
      <c r="E113" s="5">
        <v>9.8118680578813296E-3</v>
      </c>
      <c r="F113" s="5">
        <v>7</v>
      </c>
      <c r="G113" s="5">
        <v>57.142857142857103</v>
      </c>
    </row>
    <row r="114" spans="1:7" x14ac:dyDescent="0.2">
      <c r="A114" s="5" t="s">
        <v>67</v>
      </c>
      <c r="B114" s="5" t="s">
        <v>53</v>
      </c>
      <c r="C114" s="5">
        <v>1.05471834599749E-2</v>
      </c>
      <c r="D114" s="5">
        <v>1.14512043883173E-2</v>
      </c>
      <c r="E114" s="5">
        <v>4.3281484319512998E-3</v>
      </c>
      <c r="F114" s="5">
        <v>7</v>
      </c>
      <c r="G114" s="5">
        <v>85.714285714285694</v>
      </c>
    </row>
    <row r="115" spans="1:7" x14ac:dyDescent="0.2">
      <c r="A115" s="5" t="s">
        <v>67</v>
      </c>
      <c r="B115" s="5" t="s">
        <v>54</v>
      </c>
      <c r="C115" s="5">
        <v>1.0013513553320299E-2</v>
      </c>
      <c r="D115" s="5">
        <v>1.05786759529608E-2</v>
      </c>
      <c r="E115" s="5">
        <v>3.9983636816962303E-3</v>
      </c>
      <c r="F115" s="5">
        <v>7</v>
      </c>
      <c r="G115" s="5">
        <v>100</v>
      </c>
    </row>
    <row r="116" spans="1:7" x14ac:dyDescent="0.2">
      <c r="A116" s="5" t="s">
        <v>67</v>
      </c>
      <c r="B116" s="5" t="s">
        <v>38</v>
      </c>
      <c r="C116" s="5">
        <v>9.90744089618803E-3</v>
      </c>
      <c r="D116" s="5">
        <v>1.3592160405179301E-2</v>
      </c>
      <c r="E116" s="5">
        <v>5.1373537446004602E-3</v>
      </c>
      <c r="F116" s="5">
        <v>7</v>
      </c>
      <c r="G116" s="5">
        <v>71.428571428571402</v>
      </c>
    </row>
    <row r="117" spans="1:7" x14ac:dyDescent="0.2">
      <c r="A117" s="5" t="s">
        <v>67</v>
      </c>
      <c r="B117" s="5" t="s">
        <v>52</v>
      </c>
      <c r="C117" s="5">
        <v>9.37986455911426E-3</v>
      </c>
      <c r="D117" s="5">
        <v>7.3675209699297101E-3</v>
      </c>
      <c r="E117" s="5">
        <v>2.7846611807839099E-3</v>
      </c>
      <c r="F117" s="5">
        <v>7</v>
      </c>
      <c r="G117" s="5">
        <v>85.714285714285694</v>
      </c>
    </row>
    <row r="118" spans="1:7" x14ac:dyDescent="0.2">
      <c r="A118" s="5" t="s">
        <v>67</v>
      </c>
      <c r="B118" s="5" t="s">
        <v>42</v>
      </c>
      <c r="C118" s="5">
        <v>8.8994023230423297E-3</v>
      </c>
      <c r="D118" s="5">
        <v>1.2915577711420901E-2</v>
      </c>
      <c r="E118" s="5">
        <v>4.8816295233069101E-3</v>
      </c>
      <c r="F118" s="5">
        <v>7</v>
      </c>
      <c r="G118" s="5">
        <v>85.714285714285694</v>
      </c>
    </row>
    <row r="119" spans="1:7" x14ac:dyDescent="0.2">
      <c r="A119" s="5" t="s">
        <v>67</v>
      </c>
      <c r="B119" s="5" t="s">
        <v>33</v>
      </c>
      <c r="C119" s="5">
        <v>8.8742635212889203E-3</v>
      </c>
      <c r="D119" s="5">
        <v>9.4075766590883802E-3</v>
      </c>
      <c r="E119" s="5">
        <v>3.5557297542462502E-3</v>
      </c>
      <c r="F119" s="5">
        <v>7</v>
      </c>
      <c r="G119" s="5">
        <v>71.428571428571402</v>
      </c>
    </row>
    <row r="120" spans="1:7" x14ac:dyDescent="0.2">
      <c r="A120" s="5" t="s">
        <v>67</v>
      </c>
      <c r="B120" s="5" t="s">
        <v>47</v>
      </c>
      <c r="C120" s="5">
        <v>7.6810736391633603E-3</v>
      </c>
      <c r="D120" s="5">
        <v>6.1967521404254298E-3</v>
      </c>
      <c r="E120" s="5">
        <v>2.3421521571247001E-3</v>
      </c>
      <c r="F120" s="5">
        <v>7</v>
      </c>
      <c r="G120" s="5">
        <v>71.428571428571402</v>
      </c>
    </row>
    <row r="121" spans="1:7" x14ac:dyDescent="0.2">
      <c r="A121" s="5" t="s">
        <v>67</v>
      </c>
      <c r="B121" s="5" t="s">
        <v>51</v>
      </c>
      <c r="C121" s="5">
        <v>7.1524108317706E-3</v>
      </c>
      <c r="D121" s="5">
        <v>4.0077843763808903E-3</v>
      </c>
      <c r="E121" s="5">
        <v>1.5148001097534201E-3</v>
      </c>
      <c r="F121" s="5">
        <v>7</v>
      </c>
      <c r="G121" s="5">
        <v>100</v>
      </c>
    </row>
    <row r="122" spans="1:7" x14ac:dyDescent="0.2">
      <c r="A122" s="5" t="s">
        <v>68</v>
      </c>
      <c r="B122" s="5" t="s">
        <v>19</v>
      </c>
      <c r="C122" s="5">
        <v>0.19529786211258601</v>
      </c>
      <c r="D122" s="5">
        <v>0.114280651454125</v>
      </c>
      <c r="E122" s="5">
        <v>4.3194026202009503E-2</v>
      </c>
      <c r="F122" s="5">
        <v>7</v>
      </c>
      <c r="G122" s="5">
        <v>100</v>
      </c>
    </row>
    <row r="123" spans="1:7" x14ac:dyDescent="0.2">
      <c r="A123" s="5" t="s">
        <v>68</v>
      </c>
      <c r="B123" s="5" t="s">
        <v>22</v>
      </c>
      <c r="C123" s="5">
        <v>5.8230399879602997E-2</v>
      </c>
      <c r="D123" s="5">
        <v>1.9813714060374899E-2</v>
      </c>
      <c r="E123" s="5">
        <v>7.48887999318513E-3</v>
      </c>
      <c r="F123" s="5">
        <v>7</v>
      </c>
      <c r="G123" s="5">
        <v>100</v>
      </c>
    </row>
    <row r="124" spans="1:7" x14ac:dyDescent="0.2">
      <c r="A124" s="5" t="s">
        <v>68</v>
      </c>
      <c r="B124" s="5" t="s">
        <v>23</v>
      </c>
      <c r="C124" s="5">
        <v>4.53313121496879E-2</v>
      </c>
      <c r="D124" s="5">
        <v>2.8758602725698901E-2</v>
      </c>
      <c r="E124" s="5">
        <v>1.0869730123700501E-2</v>
      </c>
      <c r="F124" s="5">
        <v>7</v>
      </c>
      <c r="G124" s="5">
        <v>85.714285714285694</v>
      </c>
    </row>
    <row r="125" spans="1:7" x14ac:dyDescent="0.2">
      <c r="A125" s="5" t="s">
        <v>68</v>
      </c>
      <c r="B125" s="5" t="s">
        <v>24</v>
      </c>
      <c r="C125" s="5">
        <v>3.9990959458732399E-2</v>
      </c>
      <c r="D125" s="5">
        <v>2.2015652359262599E-2</v>
      </c>
      <c r="E125" s="5">
        <v>8.3211344419230494E-3</v>
      </c>
      <c r="F125" s="5">
        <v>7</v>
      </c>
      <c r="G125" s="5">
        <v>100</v>
      </c>
    </row>
    <row r="126" spans="1:7" x14ac:dyDescent="0.2">
      <c r="A126" s="5" t="s">
        <v>68</v>
      </c>
      <c r="B126" s="5" t="s">
        <v>32</v>
      </c>
      <c r="C126" s="5">
        <v>3.4869078736137503E-2</v>
      </c>
      <c r="D126" s="5">
        <v>3.4101826627976298E-2</v>
      </c>
      <c r="E126" s="5">
        <v>1.28892789300951E-2</v>
      </c>
      <c r="F126" s="5">
        <v>7</v>
      </c>
      <c r="G126" s="5">
        <v>85.714285714285694</v>
      </c>
    </row>
    <row r="127" spans="1:7" x14ac:dyDescent="0.2">
      <c r="A127" s="5" t="s">
        <v>68</v>
      </c>
      <c r="B127" s="5" t="s">
        <v>178</v>
      </c>
      <c r="C127" s="41" t="s">
        <v>149</v>
      </c>
      <c r="D127" s="42" t="s">
        <v>149</v>
      </c>
      <c r="E127" s="42" t="s">
        <v>149</v>
      </c>
      <c r="F127" s="42" t="s">
        <v>149</v>
      </c>
      <c r="G127" s="42" t="s">
        <v>149</v>
      </c>
    </row>
    <row r="128" spans="1:7" x14ac:dyDescent="0.2">
      <c r="A128" s="5" t="s">
        <v>68</v>
      </c>
      <c r="B128" s="5" t="s">
        <v>27</v>
      </c>
      <c r="C128" s="5">
        <v>2.82920039690959E-2</v>
      </c>
      <c r="D128" s="5">
        <v>1.8110595634784898E-2</v>
      </c>
      <c r="E128" s="5">
        <v>6.8451617349846701E-3</v>
      </c>
      <c r="F128" s="5">
        <v>7</v>
      </c>
      <c r="G128" s="5">
        <v>85.714285714285694</v>
      </c>
    </row>
    <row r="129" spans="1:7" x14ac:dyDescent="0.2">
      <c r="A129" s="5" t="s">
        <v>68</v>
      </c>
      <c r="B129" s="5" t="s">
        <v>25</v>
      </c>
      <c r="C129" s="5">
        <v>2.6140128058351801E-2</v>
      </c>
      <c r="D129" s="5">
        <v>1.5709289357372501E-2</v>
      </c>
      <c r="E129" s="5">
        <v>5.9375532733087601E-3</v>
      </c>
      <c r="F129" s="5">
        <v>7</v>
      </c>
      <c r="G129" s="5">
        <v>100</v>
      </c>
    </row>
    <row r="130" spans="1:7" x14ac:dyDescent="0.2">
      <c r="A130" s="5" t="s">
        <v>68</v>
      </c>
      <c r="B130" s="5" t="s">
        <v>36</v>
      </c>
      <c r="C130" s="5">
        <v>2.4946313299133799E-2</v>
      </c>
      <c r="D130" s="5">
        <v>1.2763348945361699E-2</v>
      </c>
      <c r="E130" s="5">
        <v>4.8240924579665201E-3</v>
      </c>
      <c r="F130" s="5">
        <v>7</v>
      </c>
      <c r="G130" s="5">
        <v>100</v>
      </c>
    </row>
    <row r="131" spans="1:7" x14ac:dyDescent="0.2">
      <c r="A131" s="5" t="s">
        <v>68</v>
      </c>
      <c r="B131" s="5" t="s">
        <v>21</v>
      </c>
      <c r="C131" s="5">
        <v>2.48277931083686E-2</v>
      </c>
      <c r="D131" s="5">
        <v>9.6749799494755592E-3</v>
      </c>
      <c r="E131" s="5">
        <v>3.6567986979783701E-3</v>
      </c>
      <c r="F131" s="5">
        <v>7</v>
      </c>
      <c r="G131" s="5">
        <v>100</v>
      </c>
    </row>
    <row r="132" spans="1:7" x14ac:dyDescent="0.2">
      <c r="A132" s="5" t="s">
        <v>68</v>
      </c>
      <c r="B132" s="5" t="s">
        <v>29</v>
      </c>
      <c r="C132" s="5">
        <v>2.1689408944461901E-2</v>
      </c>
      <c r="D132" s="5">
        <v>1.44428097940949E-2</v>
      </c>
      <c r="E132" s="5">
        <v>5.4588689925976E-3</v>
      </c>
      <c r="F132" s="5">
        <v>7</v>
      </c>
      <c r="G132" s="5">
        <v>100</v>
      </c>
    </row>
    <row r="133" spans="1:7" x14ac:dyDescent="0.2">
      <c r="A133" s="5" t="s">
        <v>68</v>
      </c>
      <c r="B133" s="5" t="s">
        <v>42</v>
      </c>
      <c r="C133" s="5">
        <v>2.07751429152974E-2</v>
      </c>
      <c r="D133" s="5">
        <v>3.15749184824555E-2</v>
      </c>
      <c r="E133" s="5">
        <v>1.19341974245306E-2</v>
      </c>
      <c r="F133" s="5">
        <v>7</v>
      </c>
      <c r="G133" s="5">
        <v>100</v>
      </c>
    </row>
    <row r="134" spans="1:7" x14ac:dyDescent="0.2">
      <c r="A134" s="5" t="s">
        <v>68</v>
      </c>
      <c r="B134" s="5" t="s">
        <v>26</v>
      </c>
      <c r="C134" s="5">
        <v>1.88815813520237E-2</v>
      </c>
      <c r="D134" s="5">
        <v>7.3877315893239801E-3</v>
      </c>
      <c r="E134" s="5">
        <v>2.79230007689246E-3</v>
      </c>
      <c r="F134" s="5">
        <v>7</v>
      </c>
      <c r="G134" s="5">
        <v>100</v>
      </c>
    </row>
    <row r="135" spans="1:7" x14ac:dyDescent="0.2">
      <c r="A135" s="5" t="s">
        <v>68</v>
      </c>
      <c r="B135" s="5" t="s">
        <v>28</v>
      </c>
      <c r="C135" s="5">
        <v>1.7534925991262999E-2</v>
      </c>
      <c r="D135" s="5">
        <v>1.14912385461134E-2</v>
      </c>
      <c r="E135" s="5">
        <v>4.3432799213050897E-3</v>
      </c>
      <c r="F135" s="5">
        <v>7</v>
      </c>
      <c r="G135" s="5">
        <v>85.714285714285694</v>
      </c>
    </row>
    <row r="136" spans="1:7" x14ac:dyDescent="0.2">
      <c r="A136" s="5" t="s">
        <v>68</v>
      </c>
      <c r="B136" s="5" t="s">
        <v>35</v>
      </c>
      <c r="C136" s="5">
        <v>1.6397402110483499E-2</v>
      </c>
      <c r="D136" s="5">
        <v>6.5820175926960996E-3</v>
      </c>
      <c r="E136" s="5">
        <v>2.48776881076084E-3</v>
      </c>
      <c r="F136" s="5">
        <v>7</v>
      </c>
      <c r="G136" s="5">
        <v>100</v>
      </c>
    </row>
    <row r="137" spans="1:7" x14ac:dyDescent="0.2">
      <c r="A137" s="5" t="s">
        <v>68</v>
      </c>
      <c r="B137" s="5" t="s">
        <v>30</v>
      </c>
      <c r="C137" s="5">
        <v>1.54807931972809E-2</v>
      </c>
      <c r="D137" s="5">
        <v>3.3303980962852099E-3</v>
      </c>
      <c r="E137" s="5">
        <v>1.25877216137337E-3</v>
      </c>
      <c r="F137" s="5">
        <v>7</v>
      </c>
      <c r="G137" s="5">
        <v>100</v>
      </c>
    </row>
    <row r="138" spans="1:7" x14ac:dyDescent="0.2">
      <c r="A138" s="5" t="s">
        <v>68</v>
      </c>
      <c r="B138" s="5" t="s">
        <v>37</v>
      </c>
      <c r="C138" s="5">
        <v>1.5338834845624301E-2</v>
      </c>
      <c r="D138" s="5">
        <v>9.9523115230969895E-3</v>
      </c>
      <c r="E138" s="5">
        <v>3.7616201800510099E-3</v>
      </c>
      <c r="F138" s="5">
        <v>7</v>
      </c>
      <c r="G138" s="5">
        <v>85.714285714285694</v>
      </c>
    </row>
    <row r="139" spans="1:7" x14ac:dyDescent="0.2">
      <c r="A139" s="5" t="s">
        <v>68</v>
      </c>
      <c r="B139" s="5" t="s">
        <v>38</v>
      </c>
      <c r="C139" s="5">
        <v>1.44908954782059E-2</v>
      </c>
      <c r="D139" s="5">
        <v>2.5986801423460801E-2</v>
      </c>
      <c r="E139" s="5">
        <v>9.8220877052137903E-3</v>
      </c>
      <c r="F139" s="5">
        <v>7</v>
      </c>
      <c r="G139" s="5">
        <v>71.428571428571402</v>
      </c>
    </row>
    <row r="140" spans="1:7" x14ac:dyDescent="0.2">
      <c r="A140" s="5" t="s">
        <v>68</v>
      </c>
      <c r="B140" s="5" t="s">
        <v>31</v>
      </c>
      <c r="C140" s="5">
        <v>1.44890650651655E-2</v>
      </c>
      <c r="D140" s="5">
        <v>1.6393009871798401E-2</v>
      </c>
      <c r="E140" s="5">
        <v>6.1959753372293497E-3</v>
      </c>
      <c r="F140" s="5">
        <v>7</v>
      </c>
      <c r="G140" s="5">
        <v>71.428571428571402</v>
      </c>
    </row>
    <row r="141" spans="1:7" x14ac:dyDescent="0.2">
      <c r="A141" s="5" t="s">
        <v>68</v>
      </c>
      <c r="B141" s="5" t="s">
        <v>34</v>
      </c>
      <c r="C141" s="5">
        <v>1.42787815283045E-2</v>
      </c>
      <c r="D141" s="5">
        <v>1.71509512947223E-2</v>
      </c>
      <c r="E141" s="5">
        <v>6.4824502677166499E-3</v>
      </c>
      <c r="F141" s="5">
        <v>7</v>
      </c>
      <c r="G141" s="5">
        <v>100</v>
      </c>
    </row>
    <row r="142" spans="1:7" x14ac:dyDescent="0.2">
      <c r="A142" s="5" t="s">
        <v>68</v>
      </c>
      <c r="B142" s="5" t="s">
        <v>48</v>
      </c>
      <c r="C142" s="5">
        <v>1.42775584232335E-2</v>
      </c>
      <c r="D142" s="5">
        <v>2.6021886918170201E-2</v>
      </c>
      <c r="E142" s="5">
        <v>9.83534877573191E-3</v>
      </c>
      <c r="F142" s="5">
        <v>7</v>
      </c>
      <c r="G142" s="5">
        <v>71.428571428571402</v>
      </c>
    </row>
    <row r="143" spans="1:7" x14ac:dyDescent="0.2">
      <c r="A143" s="5" t="s">
        <v>68</v>
      </c>
      <c r="B143" s="5" t="s">
        <v>45</v>
      </c>
      <c r="C143" s="5">
        <v>1.4195449140065699E-2</v>
      </c>
      <c r="D143" s="5">
        <v>1.0757469545662399E-2</v>
      </c>
      <c r="E143" s="5">
        <v>4.0659413077391198E-3</v>
      </c>
      <c r="F143" s="5">
        <v>7</v>
      </c>
      <c r="G143" s="5">
        <v>100</v>
      </c>
    </row>
    <row r="144" spans="1:7" x14ac:dyDescent="0.2">
      <c r="A144" s="5" t="s">
        <v>68</v>
      </c>
      <c r="B144" s="5" t="s">
        <v>20</v>
      </c>
      <c r="C144" s="5">
        <v>1.40421523709048E-2</v>
      </c>
      <c r="D144" s="5">
        <v>1.6043678567540999E-2</v>
      </c>
      <c r="E144" s="5">
        <v>6.0639405149100697E-3</v>
      </c>
      <c r="F144" s="5">
        <v>7</v>
      </c>
      <c r="G144" s="5">
        <v>85.714285714285694</v>
      </c>
    </row>
    <row r="145" spans="1:7" x14ac:dyDescent="0.2">
      <c r="A145" s="5" t="s">
        <v>68</v>
      </c>
      <c r="B145" s="5" t="s">
        <v>33</v>
      </c>
      <c r="C145" s="5">
        <v>1.2199901691605701E-2</v>
      </c>
      <c r="D145" s="5">
        <v>9.2303944103338306E-3</v>
      </c>
      <c r="E145" s="5">
        <v>3.4887611589691399E-3</v>
      </c>
      <c r="F145" s="5">
        <v>7</v>
      </c>
      <c r="G145" s="5">
        <v>85.714285714285694</v>
      </c>
    </row>
    <row r="146" spans="1:7" x14ac:dyDescent="0.2">
      <c r="A146" s="5" t="s">
        <v>68</v>
      </c>
      <c r="B146" s="5" t="s">
        <v>39</v>
      </c>
      <c r="C146" s="5">
        <v>1.13854594310489E-2</v>
      </c>
      <c r="D146" s="5">
        <v>8.0943630653728497E-3</v>
      </c>
      <c r="E146" s="5">
        <v>3.0593816703490002E-3</v>
      </c>
      <c r="F146" s="5">
        <v>7</v>
      </c>
      <c r="G146" s="5">
        <v>85.714285714285694</v>
      </c>
    </row>
    <row r="147" spans="1:7" x14ac:dyDescent="0.2">
      <c r="A147" s="5" t="s">
        <v>68</v>
      </c>
      <c r="B147" s="5" t="s">
        <v>46</v>
      </c>
      <c r="C147" s="5">
        <v>1.0397144309509601E-2</v>
      </c>
      <c r="D147" s="5">
        <v>2.6007407261455502E-3</v>
      </c>
      <c r="E147" s="5">
        <v>9.8298759799123601E-4</v>
      </c>
      <c r="F147" s="5">
        <v>7</v>
      </c>
      <c r="G147" s="5">
        <v>100</v>
      </c>
    </row>
    <row r="148" spans="1:7" x14ac:dyDescent="0.2">
      <c r="A148" s="5" t="s">
        <v>68</v>
      </c>
      <c r="B148" s="5" t="s">
        <v>40</v>
      </c>
      <c r="C148" s="5">
        <v>9.5931016943884007E-3</v>
      </c>
      <c r="D148" s="5">
        <v>5.0580128950325704E-3</v>
      </c>
      <c r="E148" s="5">
        <v>1.9117491783448601E-3</v>
      </c>
      <c r="F148" s="5">
        <v>7</v>
      </c>
      <c r="G148" s="5">
        <v>85.714285714285694</v>
      </c>
    </row>
    <row r="149" spans="1:7" x14ac:dyDescent="0.2">
      <c r="A149" s="5" t="s">
        <v>68</v>
      </c>
      <c r="B149" s="5" t="s">
        <v>44</v>
      </c>
      <c r="C149" s="5">
        <v>9.4468436213760599E-3</v>
      </c>
      <c r="D149" s="5">
        <v>7.57393259442292E-3</v>
      </c>
      <c r="E149" s="5">
        <v>2.8626774416584699E-3</v>
      </c>
      <c r="F149" s="5">
        <v>7</v>
      </c>
      <c r="G149" s="5">
        <v>100</v>
      </c>
    </row>
    <row r="150" spans="1:7" x14ac:dyDescent="0.2">
      <c r="A150" s="5" t="s">
        <v>68</v>
      </c>
      <c r="B150" s="5" t="s">
        <v>43</v>
      </c>
      <c r="C150" s="5">
        <v>9.4036574576397709E-3</v>
      </c>
      <c r="D150" s="5">
        <v>6.9323293528527801E-3</v>
      </c>
      <c r="E150" s="5">
        <v>2.6201742105774E-3</v>
      </c>
      <c r="F150" s="5">
        <v>7</v>
      </c>
      <c r="G150" s="5">
        <v>100</v>
      </c>
    </row>
    <row r="151" spans="1:7" x14ac:dyDescent="0.2">
      <c r="A151" s="5" t="s">
        <v>68</v>
      </c>
      <c r="B151" s="5" t="s">
        <v>52</v>
      </c>
      <c r="C151" s="5">
        <v>8.6355349208093405E-3</v>
      </c>
      <c r="D151" s="5">
        <v>5.0837786018236202E-3</v>
      </c>
      <c r="E151" s="5">
        <v>1.9214877001338499E-3</v>
      </c>
      <c r="F151" s="5">
        <v>7</v>
      </c>
      <c r="G151" s="5">
        <v>100</v>
      </c>
    </row>
    <row r="152" spans="1:7" x14ac:dyDescent="0.2">
      <c r="A152" s="5" t="s">
        <v>68</v>
      </c>
      <c r="B152" s="5" t="s">
        <v>53</v>
      </c>
      <c r="C152" s="5">
        <v>8.4395171214290098E-3</v>
      </c>
      <c r="D152" s="5">
        <v>4.41594406797138E-3</v>
      </c>
      <c r="E152" s="5">
        <v>1.6690699724890301E-3</v>
      </c>
      <c r="F152" s="5">
        <v>7</v>
      </c>
      <c r="G152" s="5">
        <v>100</v>
      </c>
    </row>
    <row r="154" spans="1:7" ht="18" x14ac:dyDescent="0.2">
      <c r="A154" s="1" t="s">
        <v>219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F00-5D0E-6547-AC96-6312D5C38D31}">
  <dimension ref="A1:G28"/>
  <sheetViews>
    <sheetView workbookViewId="0">
      <selection activeCell="A28" sqref="A28"/>
    </sheetView>
  </sheetViews>
  <sheetFormatPr baseColWidth="10" defaultRowHeight="16" x14ac:dyDescent="0.2"/>
  <cols>
    <col min="1" max="1" width="27.1640625" bestFit="1" customWidth="1"/>
    <col min="2" max="2" width="17.5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  <col min="8" max="16384" width="10.83203125" style="1"/>
  </cols>
  <sheetData>
    <row r="1" spans="1:7" ht="17" thickBot="1" x14ac:dyDescent="0.25">
      <c r="A1" s="35" t="s">
        <v>213</v>
      </c>
      <c r="B1" s="6" t="s">
        <v>7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70</v>
      </c>
      <c r="C2" s="5">
        <v>0.65584880183400796</v>
      </c>
      <c r="D2" s="5">
        <v>0.15116934192092901</v>
      </c>
      <c r="E2" s="5">
        <v>2.2534994976606999E-2</v>
      </c>
      <c r="F2" s="5">
        <v>45</v>
      </c>
      <c r="G2" s="5">
        <v>100</v>
      </c>
    </row>
    <row r="3" spans="1:7" x14ac:dyDescent="0.2">
      <c r="A3" s="5" t="str">
        <f t="shared" ref="A3:A6" si="0">"- SOD"</f>
        <v>- SOD</v>
      </c>
      <c r="B3" s="5" t="s">
        <v>71</v>
      </c>
      <c r="C3" s="5">
        <v>0.15302629295472001</v>
      </c>
      <c r="D3" s="5">
        <v>8.3158863210370901E-2</v>
      </c>
      <c r="E3" s="5">
        <v>1.23965914046664E-2</v>
      </c>
      <c r="F3" s="5">
        <v>45</v>
      </c>
      <c r="G3" s="5">
        <v>100</v>
      </c>
    </row>
    <row r="4" spans="1:7" x14ac:dyDescent="0.2">
      <c r="A4" s="5" t="str">
        <f t="shared" si="0"/>
        <v>- SOD</v>
      </c>
      <c r="B4" s="5" t="s">
        <v>72</v>
      </c>
      <c r="C4" s="5">
        <v>0.13995946149226701</v>
      </c>
      <c r="D4" s="5">
        <v>0.10603801965252101</v>
      </c>
      <c r="E4" s="5">
        <v>1.5807214676166401E-2</v>
      </c>
      <c r="F4" s="5">
        <v>45</v>
      </c>
      <c r="G4" s="5">
        <v>100</v>
      </c>
    </row>
    <row r="5" spans="1:7" x14ac:dyDescent="0.2">
      <c r="A5" s="5" t="str">
        <f t="shared" si="0"/>
        <v>- SOD</v>
      </c>
      <c r="B5" s="5" t="s">
        <v>73</v>
      </c>
      <c r="C5" s="5">
        <v>3.5027710865896199E-2</v>
      </c>
      <c r="D5" s="5">
        <v>2.5253181240267899E-2</v>
      </c>
      <c r="E5" s="5">
        <v>3.7645219934241002E-3</v>
      </c>
      <c r="F5" s="5">
        <v>45</v>
      </c>
      <c r="G5" s="5">
        <v>100</v>
      </c>
    </row>
    <row r="6" spans="1:7" x14ac:dyDescent="0.2">
      <c r="A6" s="5" t="str">
        <f t="shared" si="0"/>
        <v>- SOD</v>
      </c>
      <c r="B6" s="5" t="s">
        <v>178</v>
      </c>
      <c r="C6" s="41" t="s">
        <v>149</v>
      </c>
      <c r="D6" s="42" t="s">
        <v>149</v>
      </c>
      <c r="E6" s="42" t="s">
        <v>149</v>
      </c>
      <c r="F6" s="42" t="s">
        <v>149</v>
      </c>
      <c r="G6" s="42" t="s">
        <v>149</v>
      </c>
    </row>
    <row r="7" spans="1:7" x14ac:dyDescent="0.2">
      <c r="A7" s="5" t="s">
        <v>65</v>
      </c>
      <c r="B7" s="5" t="s">
        <v>70</v>
      </c>
      <c r="C7" s="5">
        <v>0.56780327465000002</v>
      </c>
      <c r="D7" s="5">
        <v>0.15220451806188301</v>
      </c>
      <c r="E7" s="5">
        <v>3.3213748815850201E-2</v>
      </c>
      <c r="F7" s="5">
        <v>21</v>
      </c>
      <c r="G7" s="5">
        <v>100</v>
      </c>
    </row>
    <row r="8" spans="1:7" x14ac:dyDescent="0.2">
      <c r="A8" s="5" t="s">
        <v>65</v>
      </c>
      <c r="B8" s="5" t="s">
        <v>71</v>
      </c>
      <c r="C8" s="5">
        <v>0.22655413854306</v>
      </c>
      <c r="D8" s="5">
        <v>0.11260896538649</v>
      </c>
      <c r="E8" s="5">
        <v>2.4573290848297801E-2</v>
      </c>
      <c r="F8" s="5">
        <v>21</v>
      </c>
      <c r="G8" s="5">
        <v>100</v>
      </c>
    </row>
    <row r="9" spans="1:7" x14ac:dyDescent="0.2">
      <c r="A9" s="5" t="s">
        <v>65</v>
      </c>
      <c r="B9" s="5" t="s">
        <v>72</v>
      </c>
      <c r="C9" s="5">
        <v>0.12594571074542499</v>
      </c>
      <c r="D9" s="5">
        <v>0.105409510493241</v>
      </c>
      <c r="E9" s="5">
        <v>2.3002240990643699E-2</v>
      </c>
      <c r="F9" s="5">
        <v>21</v>
      </c>
      <c r="G9" s="5">
        <v>100</v>
      </c>
    </row>
    <row r="10" spans="1:7" x14ac:dyDescent="0.2">
      <c r="A10" s="5" t="s">
        <v>65</v>
      </c>
      <c r="B10" s="5" t="s">
        <v>73</v>
      </c>
      <c r="C10" s="5">
        <v>5.16034175498611E-2</v>
      </c>
      <c r="D10" s="5">
        <v>5.6965762952008898E-2</v>
      </c>
      <c r="E10" s="5">
        <v>1.2430948607071E-2</v>
      </c>
      <c r="F10" s="5">
        <v>21</v>
      </c>
      <c r="G10" s="5">
        <v>100</v>
      </c>
    </row>
    <row r="11" spans="1:7" x14ac:dyDescent="0.2">
      <c r="A11" s="5" t="s">
        <v>65</v>
      </c>
      <c r="B11" s="5" t="s">
        <v>74</v>
      </c>
      <c r="C11" s="5">
        <v>1.7626160257616801E-2</v>
      </c>
      <c r="D11" s="5">
        <v>2.2259201812900899E-2</v>
      </c>
      <c r="E11" s="5">
        <v>4.8573560579484197E-3</v>
      </c>
      <c r="F11" s="5">
        <v>21</v>
      </c>
      <c r="G11" s="5">
        <v>100</v>
      </c>
    </row>
    <row r="12" spans="1:7" x14ac:dyDescent="0.2">
      <c r="A12" s="5" t="s">
        <v>66</v>
      </c>
      <c r="B12" s="5" t="s">
        <v>70</v>
      </c>
      <c r="C12" s="5">
        <v>0.51423082499264905</v>
      </c>
      <c r="D12" s="5">
        <v>0.17770482785985001</v>
      </c>
      <c r="E12" s="5">
        <v>8.8852413929925003E-2</v>
      </c>
      <c r="F12" s="5">
        <v>4</v>
      </c>
      <c r="G12" s="5">
        <v>100</v>
      </c>
    </row>
    <row r="13" spans="1:7" x14ac:dyDescent="0.2">
      <c r="A13" s="5" t="s">
        <v>66</v>
      </c>
      <c r="B13" s="5" t="s">
        <v>71</v>
      </c>
      <c r="C13" s="5">
        <v>0.317792753374466</v>
      </c>
      <c r="D13" s="5">
        <v>0.199815214839592</v>
      </c>
      <c r="E13" s="5">
        <v>9.9907607419796193E-2</v>
      </c>
      <c r="F13" s="5">
        <v>4</v>
      </c>
      <c r="G13" s="5">
        <v>100</v>
      </c>
    </row>
    <row r="14" spans="1:7" x14ac:dyDescent="0.2">
      <c r="A14" s="5" t="s">
        <v>66</v>
      </c>
      <c r="B14" s="5" t="s">
        <v>73</v>
      </c>
      <c r="C14" s="5">
        <v>9.6156629645711603E-2</v>
      </c>
      <c r="D14" s="5">
        <v>5.9301298012377802E-2</v>
      </c>
      <c r="E14" s="5">
        <v>2.9650649006188901E-2</v>
      </c>
      <c r="F14" s="5">
        <v>4</v>
      </c>
      <c r="G14" s="5">
        <v>100</v>
      </c>
    </row>
    <row r="15" spans="1:7" x14ac:dyDescent="0.2">
      <c r="A15" s="5" t="s">
        <v>66</v>
      </c>
      <c r="B15" s="5" t="s">
        <v>72</v>
      </c>
      <c r="C15" s="5">
        <v>5.7638679580508001E-2</v>
      </c>
      <c r="D15" s="5">
        <v>3.87708410866471E-2</v>
      </c>
      <c r="E15" s="5">
        <v>1.9385420543323598E-2</v>
      </c>
      <c r="F15" s="5">
        <v>4</v>
      </c>
      <c r="G15" s="5">
        <v>100</v>
      </c>
    </row>
    <row r="16" spans="1:7" x14ac:dyDescent="0.2">
      <c r="A16" s="5" t="s">
        <v>66</v>
      </c>
      <c r="B16" s="5" t="s">
        <v>74</v>
      </c>
      <c r="C16" s="5">
        <v>1.0446887242555001E-2</v>
      </c>
      <c r="D16" s="5">
        <v>8.3197851791629793E-3</v>
      </c>
      <c r="E16" s="5">
        <v>4.1598925895814896E-3</v>
      </c>
      <c r="F16" s="5">
        <v>4</v>
      </c>
      <c r="G16" s="5">
        <v>100</v>
      </c>
    </row>
    <row r="17" spans="1:7" x14ac:dyDescent="0.2">
      <c r="A17" s="5" t="s">
        <v>67</v>
      </c>
      <c r="B17" s="5" t="s">
        <v>70</v>
      </c>
      <c r="C17" s="5">
        <v>0.49462793164857</v>
      </c>
      <c r="D17" s="5">
        <v>0.19460550945062999</v>
      </c>
      <c r="E17" s="5">
        <v>7.3553968824199706E-2</v>
      </c>
      <c r="F17" s="5">
        <v>7</v>
      </c>
      <c r="G17" s="5">
        <v>100</v>
      </c>
    </row>
    <row r="18" spans="1:7" x14ac:dyDescent="0.2">
      <c r="A18" s="5" t="s">
        <v>67</v>
      </c>
      <c r="B18" s="5" t="s">
        <v>71</v>
      </c>
      <c r="C18" s="5">
        <v>0.30147768376306699</v>
      </c>
      <c r="D18" s="5">
        <v>0.13264347974188201</v>
      </c>
      <c r="E18" s="5">
        <v>5.01345229187505E-2</v>
      </c>
      <c r="F18" s="5">
        <v>7</v>
      </c>
      <c r="G18" s="5">
        <v>100</v>
      </c>
    </row>
    <row r="19" spans="1:7" x14ac:dyDescent="0.2">
      <c r="A19" s="5" t="s">
        <v>67</v>
      </c>
      <c r="B19" s="5" t="s">
        <v>72</v>
      </c>
      <c r="C19" s="5">
        <v>9.7043197598113903E-2</v>
      </c>
      <c r="D19" s="5">
        <v>8.0781316115471999E-2</v>
      </c>
      <c r="E19" s="5">
        <v>3.05324675745762E-2</v>
      </c>
      <c r="F19" s="5">
        <v>7</v>
      </c>
      <c r="G19" s="5">
        <v>100</v>
      </c>
    </row>
    <row r="20" spans="1:7" x14ac:dyDescent="0.2">
      <c r="A20" s="5" t="s">
        <v>67</v>
      </c>
      <c r="B20" s="5" t="s">
        <v>73</v>
      </c>
      <c r="C20" s="5">
        <v>6.9547204556382206E-2</v>
      </c>
      <c r="D20" s="5">
        <v>7.1918174560607701E-2</v>
      </c>
      <c r="E20" s="5">
        <v>2.7182514947585699E-2</v>
      </c>
      <c r="F20" s="5">
        <v>7</v>
      </c>
      <c r="G20" s="5">
        <v>100</v>
      </c>
    </row>
    <row r="21" spans="1:7" x14ac:dyDescent="0.2">
      <c r="A21" s="5" t="s">
        <v>67</v>
      </c>
      <c r="B21" s="5" t="s">
        <v>74</v>
      </c>
      <c r="C21" s="5">
        <v>2.35339835376784E-2</v>
      </c>
      <c r="D21" s="5">
        <v>2.1813319777896599E-2</v>
      </c>
      <c r="E21" s="5">
        <v>8.2446599144344393E-3</v>
      </c>
      <c r="F21" s="5">
        <v>7</v>
      </c>
      <c r="G21" s="5">
        <v>100</v>
      </c>
    </row>
    <row r="22" spans="1:7" x14ac:dyDescent="0.2">
      <c r="A22" s="5" t="s">
        <v>68</v>
      </c>
      <c r="B22" s="5" t="s">
        <v>70</v>
      </c>
      <c r="C22" s="5">
        <v>0.59016793505453102</v>
      </c>
      <c r="D22" s="5">
        <v>0.167684605627475</v>
      </c>
      <c r="E22" s="5">
        <v>6.3378823597748699E-2</v>
      </c>
      <c r="F22" s="5">
        <v>7</v>
      </c>
      <c r="G22" s="5">
        <v>100</v>
      </c>
    </row>
    <row r="23" spans="1:7" x14ac:dyDescent="0.2">
      <c r="A23" s="5" t="s">
        <v>68</v>
      </c>
      <c r="B23" s="5" t="s">
        <v>71</v>
      </c>
      <c r="C23" s="5">
        <v>0.30463071867826202</v>
      </c>
      <c r="D23" s="5">
        <v>0.118352371713902</v>
      </c>
      <c r="E23" s="5">
        <v>4.4732991804237197E-2</v>
      </c>
      <c r="F23" s="5">
        <v>7</v>
      </c>
      <c r="G23" s="5">
        <v>100</v>
      </c>
    </row>
    <row r="24" spans="1:7" x14ac:dyDescent="0.2">
      <c r="A24" s="5" t="s">
        <v>68</v>
      </c>
      <c r="B24" s="5" t="s">
        <v>72</v>
      </c>
      <c r="C24" s="5">
        <v>5.4504991102677501E-2</v>
      </c>
      <c r="D24" s="5">
        <v>4.3887436755056498E-2</v>
      </c>
      <c r="E24" s="5">
        <v>1.6587891904850698E-2</v>
      </c>
      <c r="F24" s="5">
        <v>7</v>
      </c>
      <c r="G24" s="5">
        <v>100</v>
      </c>
    </row>
    <row r="25" spans="1:7" x14ac:dyDescent="0.2">
      <c r="A25" s="5" t="s">
        <v>68</v>
      </c>
      <c r="B25" s="5" t="s">
        <v>73</v>
      </c>
      <c r="C25" s="5">
        <v>3.0284155401647601E-2</v>
      </c>
      <c r="D25" s="5">
        <v>1.3893462395682701E-2</v>
      </c>
      <c r="E25" s="5">
        <v>5.25123519265773E-3</v>
      </c>
      <c r="F25" s="5">
        <v>7</v>
      </c>
      <c r="G25" s="5">
        <v>100</v>
      </c>
    </row>
    <row r="26" spans="1:7" x14ac:dyDescent="0.2">
      <c r="A26" s="5" t="s">
        <v>68</v>
      </c>
      <c r="B26" s="5" t="s">
        <v>74</v>
      </c>
      <c r="C26" s="5">
        <v>1.31159357997711E-2</v>
      </c>
      <c r="D26" s="5">
        <v>1.3233112529754501E-2</v>
      </c>
      <c r="E26" s="5">
        <v>5.0016464035804696E-3</v>
      </c>
      <c r="F26" s="5">
        <v>7</v>
      </c>
      <c r="G26" s="5">
        <v>100</v>
      </c>
    </row>
    <row r="28" spans="1:7" ht="18" x14ac:dyDescent="0.2">
      <c r="A28" s="1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DFA6-D34B-E243-8D85-51B3414B9673}">
  <dimension ref="A1:K126"/>
  <sheetViews>
    <sheetView topLeftCell="A107" workbookViewId="0">
      <selection activeCell="A126" sqref="A126"/>
    </sheetView>
  </sheetViews>
  <sheetFormatPr baseColWidth="10" defaultColWidth="11" defaultRowHeight="16" x14ac:dyDescent="0.2"/>
  <cols>
    <col min="1" max="1" width="26.6640625" style="2" bestFit="1" customWidth="1"/>
    <col min="2" max="2" width="45.1640625" style="2" bestFit="1" customWidth="1"/>
    <col min="3" max="3" width="27.83203125" style="2" bestFit="1" customWidth="1"/>
    <col min="4" max="4" width="20.1640625" style="2" bestFit="1" customWidth="1"/>
    <col min="5" max="5" width="16" style="2" bestFit="1" customWidth="1"/>
    <col min="6" max="6" width="13.5" style="2" bestFit="1" customWidth="1"/>
    <col min="7" max="7" width="20.83203125" style="2" bestFit="1" customWidth="1"/>
    <col min="8" max="11" width="11" style="3"/>
    <col min="12" max="16384" width="11" style="1"/>
  </cols>
  <sheetData>
    <row r="1" spans="1:7" ht="17" thickBot="1" x14ac:dyDescent="0.25">
      <c r="A1" s="35" t="s">
        <v>213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76</v>
      </c>
      <c r="C2" s="5">
        <v>0.17844713606024901</v>
      </c>
      <c r="D2" s="5">
        <v>0.21199396464439599</v>
      </c>
      <c r="E2" s="5">
        <v>3.1602194384303797E-2</v>
      </c>
      <c r="F2" s="5">
        <v>45</v>
      </c>
      <c r="G2" s="5">
        <v>97.7777777777778</v>
      </c>
    </row>
    <row r="3" spans="1:7" x14ac:dyDescent="0.2">
      <c r="A3" s="5" t="str">
        <f t="shared" ref="A3:A25" si="0">"- SOD"</f>
        <v>- SOD</v>
      </c>
      <c r="B3" s="5" t="s">
        <v>77</v>
      </c>
      <c r="C3" s="5">
        <v>7.0502660553974306E-2</v>
      </c>
      <c r="D3" s="5">
        <v>7.9633659518746E-2</v>
      </c>
      <c r="E3" s="5">
        <v>1.1871085065399301E-2</v>
      </c>
      <c r="F3" s="5">
        <v>45</v>
      </c>
      <c r="G3" s="5">
        <v>100</v>
      </c>
    </row>
    <row r="4" spans="1:7" x14ac:dyDescent="0.2">
      <c r="A4" s="5" t="str">
        <f t="shared" si="0"/>
        <v>- SOD</v>
      </c>
      <c r="B4" s="5" t="s">
        <v>78</v>
      </c>
      <c r="C4" s="5">
        <v>6.0747824482811998E-2</v>
      </c>
      <c r="D4" s="5">
        <v>4.8602124668588001E-2</v>
      </c>
      <c r="E4" s="5">
        <v>7.2451769739921403E-3</v>
      </c>
      <c r="F4" s="5">
        <v>45</v>
      </c>
      <c r="G4" s="5">
        <v>100</v>
      </c>
    </row>
    <row r="5" spans="1:7" x14ac:dyDescent="0.2">
      <c r="A5" s="5" t="str">
        <f t="shared" si="0"/>
        <v>- SOD</v>
      </c>
      <c r="B5" s="5" t="s">
        <v>178</v>
      </c>
      <c r="C5" s="41" t="s">
        <v>149</v>
      </c>
      <c r="D5" s="42" t="s">
        <v>149</v>
      </c>
      <c r="E5" s="42" t="s">
        <v>149</v>
      </c>
      <c r="F5" s="42" t="s">
        <v>149</v>
      </c>
      <c r="G5" s="42" t="s">
        <v>149</v>
      </c>
    </row>
    <row r="6" spans="1:7" x14ac:dyDescent="0.2">
      <c r="A6" s="5" t="str">
        <f t="shared" si="0"/>
        <v>- SOD</v>
      </c>
      <c r="B6" s="5" t="s">
        <v>79</v>
      </c>
      <c r="C6" s="5">
        <v>4.9728629521598497E-2</v>
      </c>
      <c r="D6" s="5">
        <v>3.9561546516799599E-2</v>
      </c>
      <c r="E6" s="5">
        <v>5.8974871537722604E-3</v>
      </c>
      <c r="F6" s="5">
        <v>45</v>
      </c>
      <c r="G6" s="5">
        <v>100</v>
      </c>
    </row>
    <row r="7" spans="1:7" x14ac:dyDescent="0.2">
      <c r="A7" s="5" t="str">
        <f t="shared" si="0"/>
        <v>- SOD</v>
      </c>
      <c r="B7" s="5" t="s">
        <v>81</v>
      </c>
      <c r="C7" s="5">
        <v>4.5351902970777597E-2</v>
      </c>
      <c r="D7" s="5">
        <v>7.4780599642245996E-2</v>
      </c>
      <c r="E7" s="5">
        <v>1.11476336132172E-2</v>
      </c>
      <c r="F7" s="5">
        <v>45</v>
      </c>
      <c r="G7" s="5">
        <v>91.1111111111111</v>
      </c>
    </row>
    <row r="8" spans="1:7" x14ac:dyDescent="0.2">
      <c r="A8" s="5" t="str">
        <f t="shared" si="0"/>
        <v>- SOD</v>
      </c>
      <c r="B8" s="5" t="s">
        <v>80</v>
      </c>
      <c r="C8" s="5">
        <v>4.05499999446726E-2</v>
      </c>
      <c r="D8" s="5">
        <v>0.12386538758339501</v>
      </c>
      <c r="E8" s="5">
        <v>1.8464761779721901E-2</v>
      </c>
      <c r="F8" s="5">
        <v>45</v>
      </c>
      <c r="G8" s="5">
        <v>97.7777777777778</v>
      </c>
    </row>
    <row r="9" spans="1:7" x14ac:dyDescent="0.2">
      <c r="A9" s="5" t="str">
        <f t="shared" si="0"/>
        <v>- SOD</v>
      </c>
      <c r="B9" s="5" t="s">
        <v>82</v>
      </c>
      <c r="C9" s="5">
        <v>3.6687767378331897E-2</v>
      </c>
      <c r="D9" s="5">
        <v>9.3917428642924003E-2</v>
      </c>
      <c r="E9" s="5">
        <v>1.4000383647837599E-2</v>
      </c>
      <c r="F9" s="5">
        <v>45</v>
      </c>
      <c r="G9" s="5">
        <v>55.5555555555556</v>
      </c>
    </row>
    <row r="10" spans="1:7" x14ac:dyDescent="0.2">
      <c r="A10" s="5" t="str">
        <f t="shared" si="0"/>
        <v>- SOD</v>
      </c>
      <c r="B10" s="5" t="s">
        <v>85</v>
      </c>
      <c r="C10" s="5">
        <v>3.6619687158252999E-2</v>
      </c>
      <c r="D10" s="5">
        <v>7.1464024385717098E-2</v>
      </c>
      <c r="E10" s="5">
        <v>1.0653227764811099E-2</v>
      </c>
      <c r="F10" s="5">
        <v>45</v>
      </c>
      <c r="G10" s="5">
        <v>82.2222222222222</v>
      </c>
    </row>
    <row r="11" spans="1:7" x14ac:dyDescent="0.2">
      <c r="A11" s="5" t="str">
        <f t="shared" si="0"/>
        <v>- SOD</v>
      </c>
      <c r="B11" s="5" t="s">
        <v>83</v>
      </c>
      <c r="C11" s="5">
        <v>3.56377251244719E-2</v>
      </c>
      <c r="D11" s="5">
        <v>2.7171365548576E-2</v>
      </c>
      <c r="E11" s="5">
        <v>4.0504680272074496E-3</v>
      </c>
      <c r="F11" s="5">
        <v>45</v>
      </c>
      <c r="G11" s="5">
        <v>97.7777777777778</v>
      </c>
    </row>
    <row r="12" spans="1:7" x14ac:dyDescent="0.2">
      <c r="A12" s="5" t="str">
        <f t="shared" si="0"/>
        <v>- SOD</v>
      </c>
      <c r="B12" s="5" t="s">
        <v>84</v>
      </c>
      <c r="C12" s="5">
        <v>3.4202514609336002E-2</v>
      </c>
      <c r="D12" s="5">
        <v>3.5017778597238897E-2</v>
      </c>
      <c r="E12" s="5">
        <v>5.2201422242975698E-3</v>
      </c>
      <c r="F12" s="5">
        <v>45</v>
      </c>
      <c r="G12" s="5">
        <v>100</v>
      </c>
    </row>
    <row r="13" spans="1:7" x14ac:dyDescent="0.2">
      <c r="A13" s="5" t="str">
        <f t="shared" si="0"/>
        <v>- SOD</v>
      </c>
      <c r="B13" s="5" t="s">
        <v>86</v>
      </c>
      <c r="C13" s="5">
        <v>2.6654915831246101E-2</v>
      </c>
      <c r="D13" s="5">
        <v>2.55939498410062E-2</v>
      </c>
      <c r="E13" s="5">
        <v>3.8153207771473201E-3</v>
      </c>
      <c r="F13" s="5">
        <v>45</v>
      </c>
      <c r="G13" s="5">
        <v>100</v>
      </c>
    </row>
    <row r="14" spans="1:7" x14ac:dyDescent="0.2">
      <c r="A14" s="5" t="str">
        <f t="shared" si="0"/>
        <v>- SOD</v>
      </c>
      <c r="B14" s="5" t="s">
        <v>87</v>
      </c>
      <c r="C14" s="5">
        <v>2.2835638278336099E-2</v>
      </c>
      <c r="D14" s="5">
        <v>4.4353892577908498E-2</v>
      </c>
      <c r="E14" s="5">
        <v>6.6118879247284504E-3</v>
      </c>
      <c r="F14" s="5">
        <v>45</v>
      </c>
      <c r="G14" s="5">
        <v>80</v>
      </c>
    </row>
    <row r="15" spans="1:7" x14ac:dyDescent="0.2">
      <c r="A15" s="5" t="str">
        <f t="shared" si="0"/>
        <v>- SOD</v>
      </c>
      <c r="B15" s="5" t="s">
        <v>95</v>
      </c>
      <c r="C15" s="5">
        <v>1.7318108423328201E-2</v>
      </c>
      <c r="D15" s="5">
        <v>0.116008218672564</v>
      </c>
      <c r="E15" s="5">
        <v>1.7293484193367601E-2</v>
      </c>
      <c r="F15" s="5">
        <v>45</v>
      </c>
      <c r="G15" s="5">
        <v>8.8888888888888893</v>
      </c>
    </row>
    <row r="16" spans="1:7" x14ac:dyDescent="0.2">
      <c r="A16" s="5" t="str">
        <f t="shared" si="0"/>
        <v>- SOD</v>
      </c>
      <c r="B16" s="5" t="s">
        <v>89</v>
      </c>
      <c r="C16" s="5">
        <v>1.47596966699914E-2</v>
      </c>
      <c r="D16" s="5">
        <v>3.5935728501033999E-2</v>
      </c>
      <c r="E16" s="5">
        <v>5.35698211661924E-3</v>
      </c>
      <c r="F16" s="5">
        <v>45</v>
      </c>
      <c r="G16" s="5">
        <v>48.8888888888889</v>
      </c>
    </row>
    <row r="17" spans="1:7" x14ac:dyDescent="0.2">
      <c r="A17" s="5" t="str">
        <f t="shared" si="0"/>
        <v>- SOD</v>
      </c>
      <c r="B17" s="5" t="s">
        <v>88</v>
      </c>
      <c r="C17" s="5">
        <v>1.4586842995390399E-2</v>
      </c>
      <c r="D17" s="5">
        <v>2.6594216221867101E-2</v>
      </c>
      <c r="E17" s="5">
        <v>3.9644316853615002E-3</v>
      </c>
      <c r="F17" s="5">
        <v>45</v>
      </c>
      <c r="G17" s="5">
        <v>100</v>
      </c>
    </row>
    <row r="18" spans="1:7" x14ac:dyDescent="0.2">
      <c r="A18" s="5" t="str">
        <f t="shared" si="0"/>
        <v>- SOD</v>
      </c>
      <c r="B18" s="5" t="s">
        <v>90</v>
      </c>
      <c r="C18" s="5">
        <v>1.44488545806112E-2</v>
      </c>
      <c r="D18" s="5">
        <v>1.3929001439162699E-2</v>
      </c>
      <c r="E18" s="5">
        <v>2.0764129384440201E-3</v>
      </c>
      <c r="F18" s="5">
        <v>45</v>
      </c>
      <c r="G18" s="5">
        <v>100</v>
      </c>
    </row>
    <row r="19" spans="1:7" x14ac:dyDescent="0.2">
      <c r="A19" s="5" t="str">
        <f t="shared" si="0"/>
        <v>- SOD</v>
      </c>
      <c r="B19" s="5" t="s">
        <v>93</v>
      </c>
      <c r="C19" s="5">
        <v>1.3374653670984501E-2</v>
      </c>
      <c r="D19" s="5">
        <v>2.40195622104372E-2</v>
      </c>
      <c r="E19" s="5">
        <v>3.58062492615484E-3</v>
      </c>
      <c r="F19" s="5">
        <v>45</v>
      </c>
      <c r="G19" s="5">
        <v>97.7777777777778</v>
      </c>
    </row>
    <row r="20" spans="1:7" x14ac:dyDescent="0.2">
      <c r="A20" s="5" t="str">
        <f t="shared" si="0"/>
        <v>- SOD</v>
      </c>
      <c r="B20" s="5" t="s">
        <v>91</v>
      </c>
      <c r="C20" s="5">
        <v>1.26941399671385E-2</v>
      </c>
      <c r="D20" s="5">
        <v>2.6811680670975599E-2</v>
      </c>
      <c r="E20" s="5">
        <v>3.9968493714212299E-3</v>
      </c>
      <c r="F20" s="5">
        <v>45</v>
      </c>
      <c r="G20" s="5">
        <v>80</v>
      </c>
    </row>
    <row r="21" spans="1:7" x14ac:dyDescent="0.2">
      <c r="A21" s="5" t="str">
        <f t="shared" si="0"/>
        <v>- SOD</v>
      </c>
      <c r="B21" s="5" t="s">
        <v>92</v>
      </c>
      <c r="C21" s="5">
        <v>1.20739631260477E-2</v>
      </c>
      <c r="D21" s="5">
        <v>1.25617267181497E-2</v>
      </c>
      <c r="E21" s="5">
        <v>1.8725916571038701E-3</v>
      </c>
      <c r="F21" s="5">
        <v>45</v>
      </c>
      <c r="G21" s="5">
        <v>97.7777777777778</v>
      </c>
    </row>
    <row r="22" spans="1:7" x14ac:dyDescent="0.2">
      <c r="A22" s="5" t="str">
        <f t="shared" si="0"/>
        <v>- SOD</v>
      </c>
      <c r="B22" s="5" t="s">
        <v>99</v>
      </c>
      <c r="C22" s="5">
        <v>1.0211520530128901E-2</v>
      </c>
      <c r="D22" s="5">
        <v>1.9680691735028899E-2</v>
      </c>
      <c r="E22" s="5">
        <v>2.9338243042495299E-3</v>
      </c>
      <c r="F22" s="5">
        <v>45</v>
      </c>
      <c r="G22" s="5">
        <v>62.2222222222222</v>
      </c>
    </row>
    <row r="23" spans="1:7" x14ac:dyDescent="0.2">
      <c r="A23" s="5" t="str">
        <f t="shared" si="0"/>
        <v>- SOD</v>
      </c>
      <c r="B23" s="5" t="s">
        <v>94</v>
      </c>
      <c r="C23" s="5">
        <v>1.01549784931353E-2</v>
      </c>
      <c r="D23" s="5">
        <v>3.6198967205838199E-2</v>
      </c>
      <c r="E23" s="5">
        <v>5.3962234258359901E-3</v>
      </c>
      <c r="F23" s="5">
        <v>45</v>
      </c>
      <c r="G23" s="5">
        <v>42.2222222222222</v>
      </c>
    </row>
    <row r="24" spans="1:7" x14ac:dyDescent="0.2">
      <c r="A24" s="5" t="str">
        <f t="shared" si="0"/>
        <v>- SOD</v>
      </c>
      <c r="B24" s="5" t="s">
        <v>97</v>
      </c>
      <c r="C24" s="5">
        <v>9.3175930775694707E-3</v>
      </c>
      <c r="D24" s="5">
        <v>1.04630859139277E-2</v>
      </c>
      <c r="E24" s="5">
        <v>1.55974475719752E-3</v>
      </c>
      <c r="F24" s="5">
        <v>45</v>
      </c>
      <c r="G24" s="5">
        <v>95.5555555555556</v>
      </c>
    </row>
    <row r="25" spans="1:7" x14ac:dyDescent="0.2">
      <c r="A25" s="5" t="str">
        <f t="shared" si="0"/>
        <v>- SOD</v>
      </c>
      <c r="B25" s="5" t="s">
        <v>96</v>
      </c>
      <c r="C25" s="5">
        <v>9.2007484111793093E-3</v>
      </c>
      <c r="D25" s="5">
        <v>1.5139199903033401E-2</v>
      </c>
      <c r="E25" s="5">
        <v>2.2568186738760598E-3</v>
      </c>
      <c r="F25" s="5">
        <v>45</v>
      </c>
      <c r="G25" s="5">
        <v>82.2222222222222</v>
      </c>
    </row>
    <row r="26" spans="1:7" x14ac:dyDescent="0.2">
      <c r="A26" s="5" t="s">
        <v>65</v>
      </c>
      <c r="B26" s="5" t="s">
        <v>76</v>
      </c>
      <c r="C26" s="5">
        <v>9.5225047344867503E-2</v>
      </c>
      <c r="D26" s="5">
        <v>0.18016610499181199</v>
      </c>
      <c r="E26" s="5">
        <v>3.9315467323349597E-2</v>
      </c>
      <c r="F26" s="5">
        <v>21</v>
      </c>
      <c r="G26" s="5">
        <v>95.238095238095198</v>
      </c>
    </row>
    <row r="27" spans="1:7" x14ac:dyDescent="0.2">
      <c r="A27" s="5" t="s">
        <v>65</v>
      </c>
      <c r="B27" s="5" t="s">
        <v>79</v>
      </c>
      <c r="C27" s="5">
        <v>8.6797924356667805E-2</v>
      </c>
      <c r="D27" s="5">
        <v>0.103678213655406</v>
      </c>
      <c r="E27" s="5">
        <v>2.2624441047319099E-2</v>
      </c>
      <c r="F27" s="5">
        <v>21</v>
      </c>
      <c r="G27" s="5">
        <v>100</v>
      </c>
    </row>
    <row r="28" spans="1:7" x14ac:dyDescent="0.2">
      <c r="A28" s="5" t="s">
        <v>65</v>
      </c>
      <c r="B28" s="5" t="s">
        <v>78</v>
      </c>
      <c r="C28" s="5">
        <v>6.1111283459766998E-2</v>
      </c>
      <c r="D28" s="5">
        <v>5.0215048835450297E-2</v>
      </c>
      <c r="E28" s="5">
        <v>1.0957822014969301E-2</v>
      </c>
      <c r="F28" s="5">
        <v>21</v>
      </c>
      <c r="G28" s="5">
        <v>100</v>
      </c>
    </row>
    <row r="29" spans="1:7" x14ac:dyDescent="0.2">
      <c r="A29" s="5" t="s">
        <v>65</v>
      </c>
      <c r="B29" s="5" t="s">
        <v>178</v>
      </c>
      <c r="C29" s="41" t="s">
        <v>149</v>
      </c>
      <c r="D29" s="42" t="s">
        <v>149</v>
      </c>
      <c r="E29" s="42" t="s">
        <v>149</v>
      </c>
      <c r="F29" s="42" t="s">
        <v>149</v>
      </c>
      <c r="G29" s="42" t="s">
        <v>149</v>
      </c>
    </row>
    <row r="30" spans="1:7" x14ac:dyDescent="0.2">
      <c r="A30" s="5" t="s">
        <v>65</v>
      </c>
      <c r="B30" s="5" t="s">
        <v>83</v>
      </c>
      <c r="C30" s="5">
        <v>5.4593688674141397E-2</v>
      </c>
      <c r="D30" s="5">
        <v>5.68191188067401E-2</v>
      </c>
      <c r="E30" s="5">
        <v>1.2398948231074999E-2</v>
      </c>
      <c r="F30" s="5">
        <v>21</v>
      </c>
      <c r="G30" s="5">
        <v>100</v>
      </c>
    </row>
    <row r="31" spans="1:7" x14ac:dyDescent="0.2">
      <c r="A31" s="5" t="s">
        <v>65</v>
      </c>
      <c r="B31" s="5" t="s">
        <v>77</v>
      </c>
      <c r="C31" s="5">
        <v>4.97025040639755E-2</v>
      </c>
      <c r="D31" s="5">
        <v>5.34876355634279E-2</v>
      </c>
      <c r="E31" s="5">
        <v>1.1671958986362901E-2</v>
      </c>
      <c r="F31" s="5">
        <v>21</v>
      </c>
      <c r="G31" s="5">
        <v>100</v>
      </c>
    </row>
    <row r="32" spans="1:7" x14ac:dyDescent="0.2">
      <c r="A32" s="5" t="s">
        <v>65</v>
      </c>
      <c r="B32" s="5" t="s">
        <v>84</v>
      </c>
      <c r="C32" s="5">
        <v>4.6110224270479901E-2</v>
      </c>
      <c r="D32" s="5">
        <v>6.1112286136249E-2</v>
      </c>
      <c r="E32" s="5">
        <v>1.3335794148150599E-2</v>
      </c>
      <c r="F32" s="5">
        <v>21</v>
      </c>
      <c r="G32" s="5">
        <v>100</v>
      </c>
    </row>
    <row r="33" spans="1:7" x14ac:dyDescent="0.2">
      <c r="A33" s="5" t="s">
        <v>65</v>
      </c>
      <c r="B33" s="5" t="s">
        <v>94</v>
      </c>
      <c r="C33" s="5">
        <v>2.9907085875266699E-2</v>
      </c>
      <c r="D33" s="5">
        <v>9.8187631206698198E-2</v>
      </c>
      <c r="E33" s="5">
        <v>2.1426297729195399E-2</v>
      </c>
      <c r="F33" s="5">
        <v>21</v>
      </c>
      <c r="G33" s="5">
        <v>38.095238095238102</v>
      </c>
    </row>
    <row r="34" spans="1:7" x14ac:dyDescent="0.2">
      <c r="A34" s="5" t="s">
        <v>65</v>
      </c>
      <c r="B34" s="5" t="s">
        <v>86</v>
      </c>
      <c r="C34" s="5">
        <v>2.8230800050248299E-2</v>
      </c>
      <c r="D34" s="5">
        <v>2.6430097561683699E-2</v>
      </c>
      <c r="E34" s="5">
        <v>5.76752012864207E-3</v>
      </c>
      <c r="F34" s="5">
        <v>21</v>
      </c>
      <c r="G34" s="5">
        <v>100</v>
      </c>
    </row>
    <row r="35" spans="1:7" x14ac:dyDescent="0.2">
      <c r="A35" s="5" t="s">
        <v>65</v>
      </c>
      <c r="B35" s="5" t="s">
        <v>81</v>
      </c>
      <c r="C35" s="5">
        <v>2.5445413314210099E-2</v>
      </c>
      <c r="D35" s="5">
        <v>5.0668153533737298E-2</v>
      </c>
      <c r="E35" s="5">
        <v>1.10566975662855E-2</v>
      </c>
      <c r="F35" s="5">
        <v>21</v>
      </c>
      <c r="G35" s="5">
        <v>95.238095238095198</v>
      </c>
    </row>
    <row r="36" spans="1:7" x14ac:dyDescent="0.2">
      <c r="A36" s="5" t="s">
        <v>65</v>
      </c>
      <c r="B36" s="5" t="s">
        <v>85</v>
      </c>
      <c r="C36" s="5">
        <v>2.4693696996048901E-2</v>
      </c>
      <c r="D36" s="5">
        <v>6.8901195951121305E-2</v>
      </c>
      <c r="E36" s="5">
        <v>1.5035473615190399E-2</v>
      </c>
      <c r="F36" s="5">
        <v>21</v>
      </c>
      <c r="G36" s="5">
        <v>61.904761904761898</v>
      </c>
    </row>
    <row r="37" spans="1:7" x14ac:dyDescent="0.2">
      <c r="A37" s="5" t="s">
        <v>65</v>
      </c>
      <c r="B37" s="5" t="s">
        <v>90</v>
      </c>
      <c r="C37" s="5">
        <v>2.2743608895329101E-2</v>
      </c>
      <c r="D37" s="5">
        <v>2.4503318669932501E-2</v>
      </c>
      <c r="E37" s="5">
        <v>5.3470625039328604E-3</v>
      </c>
      <c r="F37" s="5">
        <v>21</v>
      </c>
      <c r="G37" s="5">
        <v>100</v>
      </c>
    </row>
    <row r="38" spans="1:7" x14ac:dyDescent="0.2">
      <c r="A38" s="5" t="s">
        <v>65</v>
      </c>
      <c r="B38" s="5" t="s">
        <v>88</v>
      </c>
      <c r="C38" s="5">
        <v>2.1690214734515101E-2</v>
      </c>
      <c r="D38" s="5">
        <v>7.50495818345948E-2</v>
      </c>
      <c r="E38" s="5">
        <v>1.6377161411038701E-2</v>
      </c>
      <c r="F38" s="5">
        <v>21</v>
      </c>
      <c r="G38" s="5">
        <v>66.6666666666667</v>
      </c>
    </row>
    <row r="39" spans="1:7" x14ac:dyDescent="0.2">
      <c r="A39" s="5" t="s">
        <v>65</v>
      </c>
      <c r="B39" s="5" t="s">
        <v>82</v>
      </c>
      <c r="C39" s="5">
        <v>2.02888827503886E-2</v>
      </c>
      <c r="D39" s="5">
        <v>5.8682175700573901E-2</v>
      </c>
      <c r="E39" s="5">
        <v>1.2805500575837001E-2</v>
      </c>
      <c r="F39" s="5">
        <v>21</v>
      </c>
      <c r="G39" s="5">
        <v>61.904761904761898</v>
      </c>
    </row>
    <row r="40" spans="1:7" x14ac:dyDescent="0.2">
      <c r="A40" s="5" t="s">
        <v>65</v>
      </c>
      <c r="B40" s="5" t="s">
        <v>97</v>
      </c>
      <c r="C40" s="5">
        <v>1.8298584439902801E-2</v>
      </c>
      <c r="D40" s="5">
        <v>3.46057358894344E-2</v>
      </c>
      <c r="E40" s="5">
        <v>7.55159067585634E-3</v>
      </c>
      <c r="F40" s="5">
        <v>21</v>
      </c>
      <c r="G40" s="5">
        <v>90.476190476190496</v>
      </c>
    </row>
    <row r="41" spans="1:7" x14ac:dyDescent="0.2">
      <c r="A41" s="5" t="s">
        <v>65</v>
      </c>
      <c r="B41" s="5" t="s">
        <v>106</v>
      </c>
      <c r="C41" s="5">
        <v>1.7313159831253502E-2</v>
      </c>
      <c r="D41" s="5">
        <v>5.5285095596399401E-2</v>
      </c>
      <c r="E41" s="5">
        <v>1.20641969225414E-2</v>
      </c>
      <c r="F41" s="5">
        <v>21</v>
      </c>
      <c r="G41" s="5">
        <v>33.3333333333333</v>
      </c>
    </row>
    <row r="42" spans="1:7" x14ac:dyDescent="0.2">
      <c r="A42" s="5" t="s">
        <v>65</v>
      </c>
      <c r="B42" s="5" t="s">
        <v>92</v>
      </c>
      <c r="C42" s="5">
        <v>1.5955913457220999E-2</v>
      </c>
      <c r="D42" s="5">
        <v>1.9912727570974301E-2</v>
      </c>
      <c r="E42" s="5">
        <v>4.3453133993820899E-3</v>
      </c>
      <c r="F42" s="5">
        <v>21</v>
      </c>
      <c r="G42" s="5">
        <v>100</v>
      </c>
    </row>
    <row r="43" spans="1:7" x14ac:dyDescent="0.2">
      <c r="A43" s="5" t="s">
        <v>65</v>
      </c>
      <c r="B43" s="5" t="s">
        <v>101</v>
      </c>
      <c r="C43" s="5">
        <v>1.5513020207657401E-2</v>
      </c>
      <c r="D43" s="5">
        <v>2.9754884581916202E-2</v>
      </c>
      <c r="E43" s="5">
        <v>6.4930481376812097E-3</v>
      </c>
      <c r="F43" s="5">
        <v>21</v>
      </c>
      <c r="G43" s="5">
        <v>80.952380952381006</v>
      </c>
    </row>
    <row r="44" spans="1:7" x14ac:dyDescent="0.2">
      <c r="A44" s="5" t="s">
        <v>65</v>
      </c>
      <c r="B44" s="5" t="s">
        <v>96</v>
      </c>
      <c r="C44" s="5">
        <v>1.53962918098666E-2</v>
      </c>
      <c r="D44" s="5">
        <v>1.97110714990037E-2</v>
      </c>
      <c r="E44" s="5">
        <v>4.3013084368033897E-3</v>
      </c>
      <c r="F44" s="5">
        <v>21</v>
      </c>
      <c r="G44" s="5">
        <v>80.952380952381006</v>
      </c>
    </row>
    <row r="45" spans="1:7" x14ac:dyDescent="0.2">
      <c r="A45" s="5" t="s">
        <v>65</v>
      </c>
      <c r="B45" s="5" t="s">
        <v>100</v>
      </c>
      <c r="C45" s="5">
        <v>1.46733928273896E-2</v>
      </c>
      <c r="D45" s="5">
        <v>2.4757328334369E-2</v>
      </c>
      <c r="E45" s="5">
        <v>5.4024919570057599E-3</v>
      </c>
      <c r="F45" s="5">
        <v>21</v>
      </c>
      <c r="G45" s="5">
        <v>100</v>
      </c>
    </row>
    <row r="46" spans="1:7" x14ac:dyDescent="0.2">
      <c r="A46" s="5" t="s">
        <v>65</v>
      </c>
      <c r="B46" s="5" t="s">
        <v>80</v>
      </c>
      <c r="C46" s="5">
        <v>1.24653265700792E-2</v>
      </c>
      <c r="D46" s="5">
        <v>1.2641529284607199E-2</v>
      </c>
      <c r="E46" s="5">
        <v>2.7586078498435E-3</v>
      </c>
      <c r="F46" s="5">
        <v>21</v>
      </c>
      <c r="G46" s="5">
        <v>95.238095238095198</v>
      </c>
    </row>
    <row r="47" spans="1:7" x14ac:dyDescent="0.2">
      <c r="A47" s="5" t="s">
        <v>65</v>
      </c>
      <c r="B47" s="5" t="s">
        <v>93</v>
      </c>
      <c r="C47" s="5">
        <v>1.2138324891486099E-2</v>
      </c>
      <c r="D47" s="5">
        <v>2.2163307226931699E-2</v>
      </c>
      <c r="E47" s="5">
        <v>4.8364301437131604E-3</v>
      </c>
      <c r="F47" s="5">
        <v>21</v>
      </c>
      <c r="G47" s="5">
        <v>76.190476190476204</v>
      </c>
    </row>
    <row r="48" spans="1:7" x14ac:dyDescent="0.2">
      <c r="A48" s="5" t="s">
        <v>65</v>
      </c>
      <c r="B48" s="5" t="s">
        <v>109</v>
      </c>
      <c r="C48" s="5">
        <v>1.18232777999613E-2</v>
      </c>
      <c r="D48" s="5">
        <v>3.7595506271862797E-2</v>
      </c>
      <c r="E48" s="5">
        <v>8.2040120609999205E-3</v>
      </c>
      <c r="F48" s="5">
        <v>21</v>
      </c>
      <c r="G48" s="5">
        <v>38.095238095238102</v>
      </c>
    </row>
    <row r="49" spans="1:7" x14ac:dyDescent="0.2">
      <c r="A49" s="5" t="s">
        <v>65</v>
      </c>
      <c r="B49" s="5" t="s">
        <v>111</v>
      </c>
      <c r="C49" s="5">
        <v>1.0212317310767501E-2</v>
      </c>
      <c r="D49" s="5">
        <v>3.10199233655532E-2</v>
      </c>
      <c r="E49" s="5">
        <v>6.7691022321131802E-3</v>
      </c>
      <c r="F49" s="5">
        <v>21</v>
      </c>
      <c r="G49" s="5">
        <v>76.190476190476204</v>
      </c>
    </row>
    <row r="50" spans="1:7" x14ac:dyDescent="0.2">
      <c r="A50" s="5" t="s">
        <v>65</v>
      </c>
      <c r="B50" s="5" t="s">
        <v>124</v>
      </c>
      <c r="C50" s="5">
        <v>1.01229029826964E-2</v>
      </c>
      <c r="D50" s="5">
        <v>4.63616154812952E-2</v>
      </c>
      <c r="E50" s="5">
        <v>1.0116933918260599E-2</v>
      </c>
      <c r="F50" s="5">
        <v>21</v>
      </c>
      <c r="G50" s="5">
        <v>9.5238095238095202</v>
      </c>
    </row>
    <row r="51" spans="1:7" x14ac:dyDescent="0.2">
      <c r="A51" s="5" t="s">
        <v>65</v>
      </c>
      <c r="B51" s="5" t="s">
        <v>102</v>
      </c>
      <c r="C51" s="5">
        <v>8.9114983718676898E-3</v>
      </c>
      <c r="D51" s="5">
        <v>1.49936019365614E-2</v>
      </c>
      <c r="E51" s="5">
        <v>3.2718721816347202E-3</v>
      </c>
      <c r="F51" s="5">
        <v>21</v>
      </c>
      <c r="G51" s="5">
        <v>90.476190476190496</v>
      </c>
    </row>
    <row r="52" spans="1:7" x14ac:dyDescent="0.2">
      <c r="A52" s="5" t="s">
        <v>66</v>
      </c>
      <c r="B52" s="5" t="s">
        <v>79</v>
      </c>
      <c r="C52" s="5">
        <v>0.15681392059115701</v>
      </c>
      <c r="D52" s="5">
        <v>7.86236244882383E-2</v>
      </c>
      <c r="E52" s="5">
        <v>3.9311812244119101E-2</v>
      </c>
      <c r="F52" s="5">
        <v>4</v>
      </c>
      <c r="G52" s="5">
        <v>100</v>
      </c>
    </row>
    <row r="53" spans="1:7" x14ac:dyDescent="0.2">
      <c r="A53" s="5" t="s">
        <v>66</v>
      </c>
      <c r="B53" s="5" t="s">
        <v>76</v>
      </c>
      <c r="C53" s="5">
        <v>0.15381771599378699</v>
      </c>
      <c r="D53" s="5">
        <v>0.29999523614224</v>
      </c>
      <c r="E53" s="5">
        <v>0.14999761807112</v>
      </c>
      <c r="F53" s="5">
        <v>4</v>
      </c>
      <c r="G53" s="5">
        <v>100</v>
      </c>
    </row>
    <row r="54" spans="1:7" x14ac:dyDescent="0.2">
      <c r="A54" s="5" t="s">
        <v>66</v>
      </c>
      <c r="B54" s="5" t="s">
        <v>83</v>
      </c>
      <c r="C54" s="5">
        <v>0.10531625700660301</v>
      </c>
      <c r="D54" s="5">
        <v>6.5770442900169895E-2</v>
      </c>
      <c r="E54" s="5">
        <v>3.2885221450084899E-2</v>
      </c>
      <c r="F54" s="5">
        <v>4</v>
      </c>
      <c r="G54" s="5">
        <v>100</v>
      </c>
    </row>
    <row r="55" spans="1:7" x14ac:dyDescent="0.2">
      <c r="A55" s="5" t="s">
        <v>66</v>
      </c>
      <c r="B55" s="5" t="s">
        <v>107</v>
      </c>
      <c r="C55" s="5">
        <v>4.72470918522594E-2</v>
      </c>
      <c r="D55" s="5">
        <v>8.5807123751283798E-2</v>
      </c>
      <c r="E55" s="5">
        <v>4.2903561875641899E-2</v>
      </c>
      <c r="F55" s="5">
        <v>4</v>
      </c>
      <c r="G55" s="5">
        <v>100</v>
      </c>
    </row>
    <row r="56" spans="1:7" x14ac:dyDescent="0.2">
      <c r="A56" s="5" t="s">
        <v>66</v>
      </c>
      <c r="B56" s="5" t="s">
        <v>92</v>
      </c>
      <c r="C56" s="5">
        <v>4.1412193040986603E-2</v>
      </c>
      <c r="D56" s="5">
        <v>5.1010884181343197E-2</v>
      </c>
      <c r="E56" s="5">
        <v>2.5505442090671598E-2</v>
      </c>
      <c r="F56" s="5">
        <v>4</v>
      </c>
      <c r="G56" s="5">
        <v>100</v>
      </c>
    </row>
    <row r="57" spans="1:7" x14ac:dyDescent="0.2">
      <c r="A57" s="5" t="s">
        <v>66</v>
      </c>
      <c r="B57" s="5" t="s">
        <v>84</v>
      </c>
      <c r="C57" s="5">
        <v>4.02687954772857E-2</v>
      </c>
      <c r="D57" s="5">
        <v>2.04183318801653E-2</v>
      </c>
      <c r="E57" s="5">
        <v>1.02091659400826E-2</v>
      </c>
      <c r="F57" s="5">
        <v>4</v>
      </c>
      <c r="G57" s="5">
        <v>100</v>
      </c>
    </row>
    <row r="58" spans="1:7" x14ac:dyDescent="0.2">
      <c r="A58" s="5" t="s">
        <v>66</v>
      </c>
      <c r="B58" s="5" t="s">
        <v>78</v>
      </c>
      <c r="C58" s="5">
        <v>3.8585627462605701E-2</v>
      </c>
      <c r="D58" s="5">
        <v>3.4206026088783301E-2</v>
      </c>
      <c r="E58" s="5">
        <v>1.7103013044391699E-2</v>
      </c>
      <c r="F58" s="5">
        <v>4</v>
      </c>
      <c r="G58" s="5">
        <v>100</v>
      </c>
    </row>
    <row r="59" spans="1:7" x14ac:dyDescent="0.2">
      <c r="A59" s="5" t="s">
        <v>66</v>
      </c>
      <c r="B59" s="5" t="s">
        <v>90</v>
      </c>
      <c r="C59" s="5">
        <v>3.3334211275875297E-2</v>
      </c>
      <c r="D59" s="5">
        <v>3.8707373883513398E-2</v>
      </c>
      <c r="E59" s="5">
        <v>1.9353686941756699E-2</v>
      </c>
      <c r="F59" s="5">
        <v>4</v>
      </c>
      <c r="G59" s="5">
        <v>100</v>
      </c>
    </row>
    <row r="60" spans="1:7" x14ac:dyDescent="0.2">
      <c r="A60" s="5" t="s">
        <v>66</v>
      </c>
      <c r="B60" s="5" t="s">
        <v>178</v>
      </c>
      <c r="C60" s="41" t="s">
        <v>149</v>
      </c>
      <c r="D60" s="42" t="s">
        <v>149</v>
      </c>
      <c r="E60" s="42" t="s">
        <v>149</v>
      </c>
      <c r="F60" s="42" t="s">
        <v>149</v>
      </c>
      <c r="G60" s="42" t="s">
        <v>149</v>
      </c>
    </row>
    <row r="61" spans="1:7" x14ac:dyDescent="0.2">
      <c r="A61" s="5" t="s">
        <v>66</v>
      </c>
      <c r="B61" s="5" t="s">
        <v>86</v>
      </c>
      <c r="C61" s="5">
        <v>2.86762824436133E-2</v>
      </c>
      <c r="D61" s="5">
        <v>1.65375496968574E-2</v>
      </c>
      <c r="E61" s="5">
        <v>8.2687748484287192E-3</v>
      </c>
      <c r="F61" s="5">
        <v>4</v>
      </c>
      <c r="G61" s="5">
        <v>100</v>
      </c>
    </row>
    <row r="62" spans="1:7" x14ac:dyDescent="0.2">
      <c r="A62" s="5" t="s">
        <v>66</v>
      </c>
      <c r="B62" s="5" t="s">
        <v>77</v>
      </c>
      <c r="C62" s="5">
        <v>2.3089397510928901E-2</v>
      </c>
      <c r="D62" s="5">
        <v>1.72320180914124E-2</v>
      </c>
      <c r="E62" s="5">
        <v>8.6160090457061897E-3</v>
      </c>
      <c r="F62" s="5">
        <v>4</v>
      </c>
      <c r="G62" s="5">
        <v>100</v>
      </c>
    </row>
    <row r="63" spans="1:7" x14ac:dyDescent="0.2">
      <c r="A63" s="5" t="s">
        <v>66</v>
      </c>
      <c r="B63" s="5" t="s">
        <v>96</v>
      </c>
      <c r="C63" s="5">
        <v>2.1318475450976201E-2</v>
      </c>
      <c r="D63" s="5">
        <v>3.3053527076990503E-2</v>
      </c>
      <c r="E63" s="5">
        <v>1.65267635384952E-2</v>
      </c>
      <c r="F63" s="5">
        <v>4</v>
      </c>
      <c r="G63" s="5">
        <v>100</v>
      </c>
    </row>
    <row r="64" spans="1:7" x14ac:dyDescent="0.2">
      <c r="A64" s="5" t="s">
        <v>66</v>
      </c>
      <c r="B64" s="5" t="s">
        <v>122</v>
      </c>
      <c r="C64" s="5">
        <v>2.0275116185667599E-2</v>
      </c>
      <c r="D64" s="5">
        <v>4.05502323713351E-2</v>
      </c>
      <c r="E64" s="5">
        <v>2.0275116185667599E-2</v>
      </c>
      <c r="F64" s="5">
        <v>4</v>
      </c>
      <c r="G64" s="5">
        <v>25</v>
      </c>
    </row>
    <row r="65" spans="1:7" x14ac:dyDescent="0.2">
      <c r="A65" s="5" t="s">
        <v>66</v>
      </c>
      <c r="B65" s="5" t="s">
        <v>97</v>
      </c>
      <c r="C65" s="5">
        <v>1.9281703728353201E-2</v>
      </c>
      <c r="D65" s="5">
        <v>9.3955580967212092E-3</v>
      </c>
      <c r="E65" s="5">
        <v>4.6977790483606003E-3</v>
      </c>
      <c r="F65" s="5">
        <v>4</v>
      </c>
      <c r="G65" s="5">
        <v>100</v>
      </c>
    </row>
    <row r="66" spans="1:7" x14ac:dyDescent="0.2">
      <c r="A66" s="5" t="s">
        <v>66</v>
      </c>
      <c r="B66" s="5" t="s">
        <v>81</v>
      </c>
      <c r="C66" s="5">
        <v>1.8570163185970899E-2</v>
      </c>
      <c r="D66" s="5">
        <v>3.4079058062480801E-2</v>
      </c>
      <c r="E66" s="5">
        <v>1.70395290312404E-2</v>
      </c>
      <c r="F66" s="5">
        <v>4</v>
      </c>
      <c r="G66" s="5">
        <v>100</v>
      </c>
    </row>
    <row r="67" spans="1:7" x14ac:dyDescent="0.2">
      <c r="A67" s="5" t="s">
        <v>66</v>
      </c>
      <c r="B67" s="5" t="s">
        <v>100</v>
      </c>
      <c r="C67" s="5">
        <v>1.7231585217084799E-2</v>
      </c>
      <c r="D67" s="5">
        <v>1.5776138193073799E-2</v>
      </c>
      <c r="E67" s="5">
        <v>7.8880690965368906E-3</v>
      </c>
      <c r="F67" s="5">
        <v>4</v>
      </c>
      <c r="G67" s="5">
        <v>100</v>
      </c>
    </row>
    <row r="68" spans="1:7" x14ac:dyDescent="0.2">
      <c r="A68" s="5" t="s">
        <v>66</v>
      </c>
      <c r="B68" s="5" t="s">
        <v>98</v>
      </c>
      <c r="C68" s="5">
        <v>1.5366420489597099E-2</v>
      </c>
      <c r="D68" s="5">
        <v>2.0169667404732201E-2</v>
      </c>
      <c r="E68" s="5">
        <v>1.0084833702366101E-2</v>
      </c>
      <c r="F68" s="5">
        <v>4</v>
      </c>
      <c r="G68" s="5">
        <v>75</v>
      </c>
    </row>
    <row r="69" spans="1:7" x14ac:dyDescent="0.2">
      <c r="A69" s="5" t="s">
        <v>66</v>
      </c>
      <c r="B69" s="5" t="s">
        <v>80</v>
      </c>
      <c r="C69" s="5">
        <v>1.4777629590724199E-2</v>
      </c>
      <c r="D69" s="5">
        <v>1.5729383244116199E-2</v>
      </c>
      <c r="E69" s="5">
        <v>7.8646916220580804E-3</v>
      </c>
      <c r="F69" s="5">
        <v>4</v>
      </c>
      <c r="G69" s="5">
        <v>100</v>
      </c>
    </row>
    <row r="70" spans="1:7" x14ac:dyDescent="0.2">
      <c r="A70" s="5" t="s">
        <v>66</v>
      </c>
      <c r="B70" s="5" t="s">
        <v>108</v>
      </c>
      <c r="C70" s="5">
        <v>1.39901222602052E-2</v>
      </c>
      <c r="D70" s="5">
        <v>2.29841079446515E-2</v>
      </c>
      <c r="E70" s="5">
        <v>1.1492053972325699E-2</v>
      </c>
      <c r="F70" s="5">
        <v>4</v>
      </c>
      <c r="G70" s="5">
        <v>75</v>
      </c>
    </row>
    <row r="71" spans="1:7" x14ac:dyDescent="0.2">
      <c r="A71" s="5" t="s">
        <v>66</v>
      </c>
      <c r="B71" s="5" t="s">
        <v>102</v>
      </c>
      <c r="C71" s="5">
        <v>1.1972335900791701E-2</v>
      </c>
      <c r="D71" s="5">
        <v>6.9693995839200896E-3</v>
      </c>
      <c r="E71" s="5">
        <v>3.48469979196004E-3</v>
      </c>
      <c r="F71" s="5">
        <v>4</v>
      </c>
      <c r="G71" s="5">
        <v>100</v>
      </c>
    </row>
    <row r="72" spans="1:7" x14ac:dyDescent="0.2">
      <c r="A72" s="5" t="s">
        <v>66</v>
      </c>
      <c r="B72" s="5" t="s">
        <v>101</v>
      </c>
      <c r="C72" s="5">
        <v>1.15970997119028E-2</v>
      </c>
      <c r="D72" s="5">
        <v>8.7490425046606903E-3</v>
      </c>
      <c r="E72" s="5">
        <v>4.3745212523303399E-3</v>
      </c>
      <c r="F72" s="5">
        <v>4</v>
      </c>
      <c r="G72" s="5">
        <v>75</v>
      </c>
    </row>
    <row r="73" spans="1:7" x14ac:dyDescent="0.2">
      <c r="A73" s="5" t="s">
        <v>66</v>
      </c>
      <c r="B73" s="5" t="s">
        <v>120</v>
      </c>
      <c r="C73" s="5">
        <v>1.1408339889850501E-2</v>
      </c>
      <c r="D73" s="5">
        <v>2.2816679779701001E-2</v>
      </c>
      <c r="E73" s="5">
        <v>1.1408339889850501E-2</v>
      </c>
      <c r="F73" s="5">
        <v>4</v>
      </c>
      <c r="G73" s="5">
        <v>25</v>
      </c>
    </row>
    <row r="74" spans="1:7" x14ac:dyDescent="0.2">
      <c r="A74" s="5" t="s">
        <v>67</v>
      </c>
      <c r="B74" s="5" t="s">
        <v>81</v>
      </c>
      <c r="C74" s="5">
        <v>0.115726535727462</v>
      </c>
      <c r="D74" s="5">
        <v>0.197204556141858</v>
      </c>
      <c r="E74" s="5">
        <v>7.4536316137175998E-2</v>
      </c>
      <c r="F74" s="5">
        <v>7</v>
      </c>
      <c r="G74" s="5">
        <v>85.714285714285694</v>
      </c>
    </row>
    <row r="75" spans="1:7" x14ac:dyDescent="0.2">
      <c r="A75" s="5" t="s">
        <v>67</v>
      </c>
      <c r="B75" s="5" t="s">
        <v>83</v>
      </c>
      <c r="C75" s="5">
        <v>7.1978631666533094E-2</v>
      </c>
      <c r="D75" s="5">
        <v>7.7519091225109693E-2</v>
      </c>
      <c r="E75" s="5">
        <v>2.9299462463052799E-2</v>
      </c>
      <c r="F75" s="5">
        <v>7</v>
      </c>
      <c r="G75" s="5">
        <v>100</v>
      </c>
    </row>
    <row r="76" spans="1:7" x14ac:dyDescent="0.2">
      <c r="A76" s="5" t="s">
        <v>67</v>
      </c>
      <c r="B76" s="5" t="s">
        <v>99</v>
      </c>
      <c r="C76" s="5">
        <v>6.3442757985169504E-2</v>
      </c>
      <c r="D76" s="5">
        <v>0.102490199176067</v>
      </c>
      <c r="E76" s="5">
        <v>3.8737654120192998E-2</v>
      </c>
      <c r="F76" s="5">
        <v>7</v>
      </c>
      <c r="G76" s="5">
        <v>57.142857142857103</v>
      </c>
    </row>
    <row r="77" spans="1:7" x14ac:dyDescent="0.2">
      <c r="A77" s="5" t="s">
        <v>67</v>
      </c>
      <c r="B77" s="5" t="s">
        <v>78</v>
      </c>
      <c r="C77" s="5">
        <v>5.0179436074632003E-2</v>
      </c>
      <c r="D77" s="5">
        <v>6.4708856677670096E-2</v>
      </c>
      <c r="E77" s="5">
        <v>2.4457648913205201E-2</v>
      </c>
      <c r="F77" s="5">
        <v>7</v>
      </c>
      <c r="G77" s="5">
        <v>100</v>
      </c>
    </row>
    <row r="78" spans="1:7" x14ac:dyDescent="0.2">
      <c r="A78" s="5" t="s">
        <v>67</v>
      </c>
      <c r="B78" s="5" t="s">
        <v>79</v>
      </c>
      <c r="C78" s="5">
        <v>4.3815708259989102E-2</v>
      </c>
      <c r="D78" s="5">
        <v>5.56323328080554E-2</v>
      </c>
      <c r="E78" s="5">
        <v>2.10270453520706E-2</v>
      </c>
      <c r="F78" s="5">
        <v>7</v>
      </c>
      <c r="G78" s="5">
        <v>100</v>
      </c>
    </row>
    <row r="79" spans="1:7" x14ac:dyDescent="0.2">
      <c r="A79" s="5" t="s">
        <v>67</v>
      </c>
      <c r="B79" s="5" t="s">
        <v>77</v>
      </c>
      <c r="C79" s="5">
        <v>4.3566946482513601E-2</v>
      </c>
      <c r="D79" s="5">
        <v>3.4863668313182002E-2</v>
      </c>
      <c r="E79" s="5">
        <v>1.31772280211603E-2</v>
      </c>
      <c r="F79" s="5">
        <v>7</v>
      </c>
      <c r="G79" s="5">
        <v>85.714285714285694</v>
      </c>
    </row>
    <row r="80" spans="1:7" x14ac:dyDescent="0.2">
      <c r="A80" s="5" t="s">
        <v>67</v>
      </c>
      <c r="B80" s="5" t="s">
        <v>88</v>
      </c>
      <c r="C80" s="5">
        <v>3.5669798440147497E-2</v>
      </c>
      <c r="D80" s="5">
        <v>8.4127546399259498E-2</v>
      </c>
      <c r="E80" s="5">
        <v>3.1797223740355401E-2</v>
      </c>
      <c r="F80" s="5">
        <v>7</v>
      </c>
      <c r="G80" s="5">
        <v>85.714285714285694</v>
      </c>
    </row>
    <row r="81" spans="1:7" x14ac:dyDescent="0.2">
      <c r="A81" s="5" t="s">
        <v>67</v>
      </c>
      <c r="B81" s="5" t="s">
        <v>118</v>
      </c>
      <c r="C81" s="5">
        <v>3.4934966265737097E-2</v>
      </c>
      <c r="D81" s="5">
        <v>9.0564234579348604E-2</v>
      </c>
      <c r="E81" s="5">
        <v>3.42300631962675E-2</v>
      </c>
      <c r="F81" s="5">
        <v>7</v>
      </c>
      <c r="G81" s="5">
        <v>57.142857142857103</v>
      </c>
    </row>
    <row r="82" spans="1:7" x14ac:dyDescent="0.2">
      <c r="A82" s="5" t="s">
        <v>67</v>
      </c>
      <c r="B82" s="5" t="s">
        <v>110</v>
      </c>
      <c r="C82" s="5">
        <v>3.4462971334131801E-2</v>
      </c>
      <c r="D82" s="5">
        <v>8.7661759382828594E-2</v>
      </c>
      <c r="E82" s="5">
        <v>3.3133030688192497E-2</v>
      </c>
      <c r="F82" s="5">
        <v>7</v>
      </c>
      <c r="G82" s="5">
        <v>28.571428571428601</v>
      </c>
    </row>
    <row r="83" spans="1:7" x14ac:dyDescent="0.2">
      <c r="A83" s="5" t="s">
        <v>67</v>
      </c>
      <c r="B83" s="5" t="s">
        <v>84</v>
      </c>
      <c r="C83" s="5">
        <v>3.36883627665426E-2</v>
      </c>
      <c r="D83" s="5">
        <v>5.1512899070678998E-2</v>
      </c>
      <c r="E83" s="5">
        <v>1.9470045750426698E-2</v>
      </c>
      <c r="F83" s="5">
        <v>7</v>
      </c>
      <c r="G83" s="5">
        <v>100</v>
      </c>
    </row>
    <row r="84" spans="1:7" x14ac:dyDescent="0.2">
      <c r="A84" s="5" t="s">
        <v>67</v>
      </c>
      <c r="B84" s="5" t="s">
        <v>82</v>
      </c>
      <c r="C84" s="5">
        <v>3.1876858608791497E-2</v>
      </c>
      <c r="D84" s="5">
        <v>8.3896058599855702E-2</v>
      </c>
      <c r="E84" s="5">
        <v>3.1709729576245703E-2</v>
      </c>
      <c r="F84" s="5">
        <v>7</v>
      </c>
      <c r="G84" s="5">
        <v>57.142857142857103</v>
      </c>
    </row>
    <row r="85" spans="1:7" x14ac:dyDescent="0.2">
      <c r="A85" s="5" t="s">
        <v>67</v>
      </c>
      <c r="B85" s="5" t="s">
        <v>97</v>
      </c>
      <c r="C85" s="5">
        <v>2.7313303908036799E-2</v>
      </c>
      <c r="D85" s="5">
        <v>2.56199401514106E-2</v>
      </c>
      <c r="E85" s="5">
        <v>9.6834271778558495E-3</v>
      </c>
      <c r="F85" s="5">
        <v>7</v>
      </c>
      <c r="G85" s="5">
        <v>85.714285714285694</v>
      </c>
    </row>
    <row r="86" spans="1:7" x14ac:dyDescent="0.2">
      <c r="A86" s="5" t="s">
        <v>67</v>
      </c>
      <c r="B86" s="5" t="s">
        <v>92</v>
      </c>
      <c r="C86" s="5">
        <v>2.41567868782133E-2</v>
      </c>
      <c r="D86" s="5">
        <v>1.9044704511492601E-2</v>
      </c>
      <c r="E86" s="5">
        <v>7.1982217043027701E-3</v>
      </c>
      <c r="F86" s="5">
        <v>7</v>
      </c>
      <c r="G86" s="5">
        <v>100</v>
      </c>
    </row>
    <row r="87" spans="1:7" x14ac:dyDescent="0.2">
      <c r="A87" s="5" t="s">
        <v>67</v>
      </c>
      <c r="B87" s="5" t="s">
        <v>114</v>
      </c>
      <c r="C87" s="5">
        <v>2.3093197055000101E-2</v>
      </c>
      <c r="D87" s="5">
        <v>4.4170095242501803E-2</v>
      </c>
      <c r="E87" s="5">
        <v>1.6694726771099601E-2</v>
      </c>
      <c r="F87" s="5">
        <v>7</v>
      </c>
      <c r="G87" s="5">
        <v>42.857142857142897</v>
      </c>
    </row>
    <row r="88" spans="1:7" x14ac:dyDescent="0.2">
      <c r="A88" s="5" t="s">
        <v>67</v>
      </c>
      <c r="B88" s="5" t="s">
        <v>104</v>
      </c>
      <c r="C88" s="5">
        <v>2.14111126251697E-2</v>
      </c>
      <c r="D88" s="5">
        <v>4.8067251073591402E-2</v>
      </c>
      <c r="E88" s="5">
        <v>1.8167713221032201E-2</v>
      </c>
      <c r="F88" s="5">
        <v>7</v>
      </c>
      <c r="G88" s="5">
        <v>100</v>
      </c>
    </row>
    <row r="89" spans="1:7" x14ac:dyDescent="0.2">
      <c r="A89" s="5" t="s">
        <v>67</v>
      </c>
      <c r="B89" s="5" t="s">
        <v>102</v>
      </c>
      <c r="C89" s="5">
        <v>1.8787127465544701E-2</v>
      </c>
      <c r="D89" s="5">
        <v>4.14838196229965E-2</v>
      </c>
      <c r="E89" s="5">
        <v>1.5679410022215699E-2</v>
      </c>
      <c r="F89" s="5">
        <v>7</v>
      </c>
      <c r="G89" s="5">
        <v>100</v>
      </c>
    </row>
    <row r="90" spans="1:7" x14ac:dyDescent="0.2">
      <c r="A90" s="5" t="s">
        <v>67</v>
      </c>
      <c r="B90" s="5" t="s">
        <v>178</v>
      </c>
      <c r="C90" s="41" t="s">
        <v>149</v>
      </c>
      <c r="D90" s="42" t="s">
        <v>149</v>
      </c>
      <c r="E90" s="42" t="s">
        <v>149</v>
      </c>
      <c r="F90" s="42" t="s">
        <v>149</v>
      </c>
      <c r="G90" s="42" t="s">
        <v>149</v>
      </c>
    </row>
    <row r="91" spans="1:7" x14ac:dyDescent="0.2">
      <c r="A91" s="5" t="s">
        <v>67</v>
      </c>
      <c r="B91" s="5" t="s">
        <v>121</v>
      </c>
      <c r="C91" s="5">
        <v>1.7745967259524299E-2</v>
      </c>
      <c r="D91" s="5">
        <v>3.7383992622505802E-2</v>
      </c>
      <c r="E91" s="5">
        <v>1.41298210705463E-2</v>
      </c>
      <c r="F91" s="5">
        <v>7</v>
      </c>
      <c r="G91" s="5">
        <v>42.857142857142897</v>
      </c>
    </row>
    <row r="92" spans="1:7" x14ac:dyDescent="0.2">
      <c r="A92" s="5" t="s">
        <v>67</v>
      </c>
      <c r="B92" s="5" t="s">
        <v>86</v>
      </c>
      <c r="C92" s="5">
        <v>1.6815473857291499E-2</v>
      </c>
      <c r="D92" s="5">
        <v>1.7828553897236601E-2</v>
      </c>
      <c r="E92" s="5">
        <v>6.7385599782856503E-3</v>
      </c>
      <c r="F92" s="5">
        <v>7</v>
      </c>
      <c r="G92" s="5">
        <v>100</v>
      </c>
    </row>
    <row r="93" spans="1:7" x14ac:dyDescent="0.2">
      <c r="A93" s="5" t="s">
        <v>67</v>
      </c>
      <c r="B93" s="5" t="s">
        <v>93</v>
      </c>
      <c r="C93" s="5">
        <v>1.41352636714774E-2</v>
      </c>
      <c r="D93" s="5">
        <v>2.5260883615119301E-2</v>
      </c>
      <c r="E93" s="5">
        <v>9.5477165633359694E-3</v>
      </c>
      <c r="F93" s="5">
        <v>7</v>
      </c>
      <c r="G93" s="5">
        <v>71.428571428571402</v>
      </c>
    </row>
    <row r="94" spans="1:7" x14ac:dyDescent="0.2">
      <c r="A94" s="5" t="s">
        <v>67</v>
      </c>
      <c r="B94" s="5" t="s">
        <v>87</v>
      </c>
      <c r="C94" s="5">
        <v>1.39833120011052E-2</v>
      </c>
      <c r="D94" s="5">
        <v>3.3891696960011097E-2</v>
      </c>
      <c r="E94" s="5">
        <v>1.2809857380878999E-2</v>
      </c>
      <c r="F94" s="5">
        <v>7</v>
      </c>
      <c r="G94" s="5">
        <v>28.571428571428601</v>
      </c>
    </row>
    <row r="95" spans="1:7" x14ac:dyDescent="0.2">
      <c r="A95" s="5" t="s">
        <v>67</v>
      </c>
      <c r="B95" s="5" t="s">
        <v>80</v>
      </c>
      <c r="C95" s="5">
        <v>1.11292888689268E-2</v>
      </c>
      <c r="D95" s="5">
        <v>1.25810716829074E-2</v>
      </c>
      <c r="E95" s="5">
        <v>4.7551981285214196E-3</v>
      </c>
      <c r="F95" s="5">
        <v>7</v>
      </c>
      <c r="G95" s="5">
        <v>100</v>
      </c>
    </row>
    <row r="96" spans="1:7" x14ac:dyDescent="0.2">
      <c r="A96" s="5" t="s">
        <v>67</v>
      </c>
      <c r="B96" s="5" t="s">
        <v>101</v>
      </c>
      <c r="C96" s="5">
        <v>9.5954476371015E-3</v>
      </c>
      <c r="D96" s="5">
        <v>1.3069212078599599E-2</v>
      </c>
      <c r="E96" s="5">
        <v>4.93969785593373E-3</v>
      </c>
      <c r="F96" s="5">
        <v>7</v>
      </c>
      <c r="G96" s="5">
        <v>85.714285714285694</v>
      </c>
    </row>
    <row r="97" spans="1:7" x14ac:dyDescent="0.2">
      <c r="A97" s="5" t="s">
        <v>67</v>
      </c>
      <c r="B97" s="5" t="s">
        <v>100</v>
      </c>
      <c r="C97" s="5">
        <v>9.5147509536280504E-3</v>
      </c>
      <c r="D97" s="5">
        <v>9.8719416944058908E-3</v>
      </c>
      <c r="E97" s="5">
        <v>3.7312432401039402E-3</v>
      </c>
      <c r="F97" s="5">
        <v>7</v>
      </c>
      <c r="G97" s="5">
        <v>100</v>
      </c>
    </row>
    <row r="98" spans="1:7" x14ac:dyDescent="0.2">
      <c r="A98" s="5" t="s">
        <v>67</v>
      </c>
      <c r="B98" s="5" t="s">
        <v>90</v>
      </c>
      <c r="C98" s="5">
        <v>9.5110081995075594E-3</v>
      </c>
      <c r="D98" s="5">
        <v>1.11594510956583E-2</v>
      </c>
      <c r="E98" s="5">
        <v>4.2178760524427504E-3</v>
      </c>
      <c r="F98" s="5">
        <v>7</v>
      </c>
      <c r="G98" s="5">
        <v>100</v>
      </c>
    </row>
    <row r="99" spans="1:7" x14ac:dyDescent="0.2">
      <c r="A99" s="5" t="s">
        <v>67</v>
      </c>
      <c r="B99" s="5" t="s">
        <v>96</v>
      </c>
      <c r="C99" s="5">
        <v>8.9902572132975495E-3</v>
      </c>
      <c r="D99" s="5">
        <v>1.8070328021431201E-2</v>
      </c>
      <c r="E99" s="5">
        <v>6.8299420077241099E-3</v>
      </c>
      <c r="F99" s="5">
        <v>7</v>
      </c>
      <c r="G99" s="5">
        <v>85.714285714285694</v>
      </c>
    </row>
    <row r="100" spans="1:7" x14ac:dyDescent="0.2">
      <c r="A100" s="5" t="s">
        <v>68</v>
      </c>
      <c r="B100" s="5" t="s">
        <v>76</v>
      </c>
      <c r="C100" s="5">
        <v>0.155542366476599</v>
      </c>
      <c r="D100" s="5">
        <v>0.17734018857973499</v>
      </c>
      <c r="E100" s="5">
        <v>6.7028290919896497E-2</v>
      </c>
      <c r="F100" s="5">
        <v>7</v>
      </c>
      <c r="G100" s="5">
        <v>85.714285714285694</v>
      </c>
    </row>
    <row r="101" spans="1:7" x14ac:dyDescent="0.2">
      <c r="A101" s="5" t="s">
        <v>68</v>
      </c>
      <c r="B101" s="5" t="s">
        <v>81</v>
      </c>
      <c r="C101" s="5">
        <v>0.13419956023247401</v>
      </c>
      <c r="D101" s="5">
        <v>0.18566534516043301</v>
      </c>
      <c r="E101" s="5">
        <v>7.0174904339639202E-2</v>
      </c>
      <c r="F101" s="5">
        <v>7</v>
      </c>
      <c r="G101" s="5">
        <v>85.714285714285694</v>
      </c>
    </row>
    <row r="102" spans="1:7" x14ac:dyDescent="0.2">
      <c r="A102" s="5" t="s">
        <v>68</v>
      </c>
      <c r="B102" s="5" t="s">
        <v>99</v>
      </c>
      <c r="C102" s="5">
        <v>5.0643406366760103E-2</v>
      </c>
      <c r="D102" s="5">
        <v>7.9363362857679795E-2</v>
      </c>
      <c r="E102" s="5">
        <v>2.9996531618743001E-2</v>
      </c>
      <c r="F102" s="5">
        <v>7</v>
      </c>
      <c r="G102" s="5">
        <v>100</v>
      </c>
    </row>
    <row r="103" spans="1:7" x14ac:dyDescent="0.2">
      <c r="A103" s="5" t="s">
        <v>68</v>
      </c>
      <c r="B103" s="5" t="s">
        <v>123</v>
      </c>
      <c r="C103" s="5">
        <v>4.9137091077493103E-2</v>
      </c>
      <c r="D103" s="5">
        <v>0.12918056225269001</v>
      </c>
      <c r="E103" s="5">
        <v>4.8825663134873597E-2</v>
      </c>
      <c r="F103" s="5">
        <v>7</v>
      </c>
      <c r="G103" s="5">
        <v>28.571428571428601</v>
      </c>
    </row>
    <row r="104" spans="1:7" x14ac:dyDescent="0.2">
      <c r="A104" s="5" t="s">
        <v>68</v>
      </c>
      <c r="B104" s="5" t="s">
        <v>178</v>
      </c>
      <c r="C104" s="41" t="s">
        <v>149</v>
      </c>
      <c r="D104" s="42" t="s">
        <v>149</v>
      </c>
      <c r="E104" s="42" t="s">
        <v>149</v>
      </c>
      <c r="F104" s="42" t="s">
        <v>149</v>
      </c>
      <c r="G104" s="42" t="s">
        <v>149</v>
      </c>
    </row>
    <row r="105" spans="1:7" x14ac:dyDescent="0.2">
      <c r="A105" s="5" t="s">
        <v>68</v>
      </c>
      <c r="B105" s="5" t="s">
        <v>79</v>
      </c>
      <c r="C105" s="5">
        <v>3.7237756763924199E-2</v>
      </c>
      <c r="D105" s="5">
        <v>2.9707423444048701E-2</v>
      </c>
      <c r="E105" s="5">
        <v>1.1228350646491801E-2</v>
      </c>
      <c r="F105" s="5">
        <v>7</v>
      </c>
      <c r="G105" s="5">
        <v>100</v>
      </c>
    </row>
    <row r="106" spans="1:7" x14ac:dyDescent="0.2">
      <c r="A106" s="5" t="s">
        <v>68</v>
      </c>
      <c r="B106" s="5" t="s">
        <v>83</v>
      </c>
      <c r="C106" s="5">
        <v>3.12287495273041E-2</v>
      </c>
      <c r="D106" s="5">
        <v>1.41671625213865E-2</v>
      </c>
      <c r="E106" s="5">
        <v>5.3546841164319198E-3</v>
      </c>
      <c r="F106" s="5">
        <v>7</v>
      </c>
      <c r="G106" s="5">
        <v>100</v>
      </c>
    </row>
    <row r="107" spans="1:7" x14ac:dyDescent="0.2">
      <c r="A107" s="5" t="s">
        <v>68</v>
      </c>
      <c r="B107" s="5" t="s">
        <v>77</v>
      </c>
      <c r="C107" s="5">
        <v>2.7013874316321702E-2</v>
      </c>
      <c r="D107" s="5">
        <v>1.14794018039867E-2</v>
      </c>
      <c r="E107" s="5">
        <v>4.3388060533050103E-3</v>
      </c>
      <c r="F107" s="5">
        <v>7</v>
      </c>
      <c r="G107" s="5">
        <v>100</v>
      </c>
    </row>
    <row r="108" spans="1:7" x14ac:dyDescent="0.2">
      <c r="A108" s="5" t="s">
        <v>68</v>
      </c>
      <c r="B108" s="5" t="s">
        <v>115</v>
      </c>
      <c r="C108" s="5">
        <v>2.5550473977215101E-2</v>
      </c>
      <c r="D108" s="5">
        <v>6.7048229229517906E-2</v>
      </c>
      <c r="E108" s="5">
        <v>2.53418486269366E-2</v>
      </c>
      <c r="F108" s="5">
        <v>7</v>
      </c>
      <c r="G108" s="5">
        <v>71.428571428571402</v>
      </c>
    </row>
    <row r="109" spans="1:7" x14ac:dyDescent="0.2">
      <c r="A109" s="5" t="s">
        <v>68</v>
      </c>
      <c r="B109" s="5" t="s">
        <v>105</v>
      </c>
      <c r="C109" s="5">
        <v>2.4134247249241E-2</v>
      </c>
      <c r="D109" s="5">
        <v>6.2349723853566102E-2</v>
      </c>
      <c r="E109" s="5">
        <v>2.3565980518583898E-2</v>
      </c>
      <c r="F109" s="5">
        <v>7</v>
      </c>
      <c r="G109" s="5">
        <v>28.571428571428601</v>
      </c>
    </row>
    <row r="110" spans="1:7" x14ac:dyDescent="0.2">
      <c r="A110" s="5" t="s">
        <v>68</v>
      </c>
      <c r="B110" s="5" t="s">
        <v>84</v>
      </c>
      <c r="C110" s="5">
        <v>2.3132230054487599E-2</v>
      </c>
      <c r="D110" s="5">
        <v>1.6495642982258599E-2</v>
      </c>
      <c r="E110" s="5">
        <v>6.2347670067377098E-3</v>
      </c>
      <c r="F110" s="5">
        <v>7</v>
      </c>
      <c r="G110" s="5">
        <v>100</v>
      </c>
    </row>
    <row r="111" spans="1:7" x14ac:dyDescent="0.2">
      <c r="A111" s="5" t="s">
        <v>68</v>
      </c>
      <c r="B111" s="5" t="s">
        <v>100</v>
      </c>
      <c r="C111" s="5">
        <v>2.0103320205267401E-2</v>
      </c>
      <c r="D111" s="5">
        <v>2.4273921664214701E-2</v>
      </c>
      <c r="E111" s="5">
        <v>9.1746800096821797E-3</v>
      </c>
      <c r="F111" s="5">
        <v>7</v>
      </c>
      <c r="G111" s="5">
        <v>100</v>
      </c>
    </row>
    <row r="112" spans="1:7" x14ac:dyDescent="0.2">
      <c r="A112" s="5" t="s">
        <v>68</v>
      </c>
      <c r="B112" s="5" t="s">
        <v>87</v>
      </c>
      <c r="C112" s="5">
        <v>1.8404443379714901E-2</v>
      </c>
      <c r="D112" s="5">
        <v>2.942634708242E-2</v>
      </c>
      <c r="E112" s="5">
        <v>1.11221137675935E-2</v>
      </c>
      <c r="F112" s="5">
        <v>7</v>
      </c>
      <c r="G112" s="5">
        <v>57.142857142857103</v>
      </c>
    </row>
    <row r="113" spans="1:7" x14ac:dyDescent="0.2">
      <c r="A113" s="5" t="s">
        <v>68</v>
      </c>
      <c r="B113" s="5" t="s">
        <v>85</v>
      </c>
      <c r="C113" s="5">
        <v>1.8323688682622401E-2</v>
      </c>
      <c r="D113" s="5">
        <v>2.6638645049714801E-2</v>
      </c>
      <c r="E113" s="5">
        <v>1.0068461437895301E-2</v>
      </c>
      <c r="F113" s="5">
        <v>7</v>
      </c>
      <c r="G113" s="5">
        <v>71.428571428571402</v>
      </c>
    </row>
    <row r="114" spans="1:7" x14ac:dyDescent="0.2">
      <c r="A114" s="5" t="s">
        <v>68</v>
      </c>
      <c r="B114" s="5" t="s">
        <v>113</v>
      </c>
      <c r="C114" s="5">
        <v>1.6922022630975999E-2</v>
      </c>
      <c r="D114" s="5">
        <v>3.3018246171974797E-2</v>
      </c>
      <c r="E114" s="5">
        <v>1.24797240140794E-2</v>
      </c>
      <c r="F114" s="5">
        <v>7</v>
      </c>
      <c r="G114" s="5">
        <v>42.857142857142897</v>
      </c>
    </row>
    <row r="115" spans="1:7" x14ac:dyDescent="0.2">
      <c r="A115" s="5" t="s">
        <v>68</v>
      </c>
      <c r="B115" s="5" t="s">
        <v>103</v>
      </c>
      <c r="C115" s="5">
        <v>1.66785135053928E-2</v>
      </c>
      <c r="D115" s="5">
        <v>4.3670522305526802E-2</v>
      </c>
      <c r="E115" s="5">
        <v>1.65059059492461E-2</v>
      </c>
      <c r="F115" s="5">
        <v>7</v>
      </c>
      <c r="G115" s="5">
        <v>42.857142857142897</v>
      </c>
    </row>
    <row r="116" spans="1:7" x14ac:dyDescent="0.2">
      <c r="A116" s="5" t="s">
        <v>68</v>
      </c>
      <c r="B116" s="5" t="s">
        <v>93</v>
      </c>
      <c r="C116" s="5">
        <v>1.6176063344860301E-2</v>
      </c>
      <c r="D116" s="5">
        <v>1.6474540798835199E-2</v>
      </c>
      <c r="E116" s="5">
        <v>6.2267911311007697E-3</v>
      </c>
      <c r="F116" s="5">
        <v>7</v>
      </c>
      <c r="G116" s="5">
        <v>85.714285714285694</v>
      </c>
    </row>
    <row r="117" spans="1:7" x14ac:dyDescent="0.2">
      <c r="A117" s="5" t="s">
        <v>68</v>
      </c>
      <c r="B117" s="5" t="s">
        <v>106</v>
      </c>
      <c r="C117" s="5">
        <v>1.5655657303588401E-2</v>
      </c>
      <c r="D117" s="5">
        <v>3.7167022946500997E-2</v>
      </c>
      <c r="E117" s="5">
        <v>1.40478142412961E-2</v>
      </c>
      <c r="F117" s="5">
        <v>7</v>
      </c>
      <c r="G117" s="5">
        <v>57.142857142857103</v>
      </c>
    </row>
    <row r="118" spans="1:7" x14ac:dyDescent="0.2">
      <c r="A118" s="5" t="s">
        <v>68</v>
      </c>
      <c r="B118" s="5" t="s">
        <v>80</v>
      </c>
      <c r="C118" s="5">
        <v>1.41231858291833E-2</v>
      </c>
      <c r="D118" s="5">
        <v>1.26748683943976E-2</v>
      </c>
      <c r="E118" s="5">
        <v>4.7906499531497901E-3</v>
      </c>
      <c r="F118" s="5">
        <v>7</v>
      </c>
      <c r="G118" s="5">
        <v>100</v>
      </c>
    </row>
    <row r="119" spans="1:7" x14ac:dyDescent="0.2">
      <c r="A119" s="5" t="s">
        <v>68</v>
      </c>
      <c r="B119" s="5" t="s">
        <v>92</v>
      </c>
      <c r="C119" s="5">
        <v>1.3786290443129101E-2</v>
      </c>
      <c r="D119" s="5">
        <v>9.3990845631710101E-3</v>
      </c>
      <c r="E119" s="5">
        <v>3.55252004368809E-3</v>
      </c>
      <c r="F119" s="5">
        <v>7</v>
      </c>
      <c r="G119" s="5">
        <v>100</v>
      </c>
    </row>
    <row r="120" spans="1:7" x14ac:dyDescent="0.2">
      <c r="A120" s="5" t="s">
        <v>68</v>
      </c>
      <c r="B120" s="5" t="s">
        <v>78</v>
      </c>
      <c r="C120" s="5">
        <v>1.37608191387294E-2</v>
      </c>
      <c r="D120" s="5">
        <v>1.6694362925329699E-2</v>
      </c>
      <c r="E120" s="5">
        <v>6.3098760852970002E-3</v>
      </c>
      <c r="F120" s="5">
        <v>7</v>
      </c>
      <c r="G120" s="5">
        <v>85.714285714285694</v>
      </c>
    </row>
    <row r="121" spans="1:7" x14ac:dyDescent="0.2">
      <c r="A121" s="5" t="s">
        <v>68</v>
      </c>
      <c r="B121" s="5" t="s">
        <v>86</v>
      </c>
      <c r="C121" s="5">
        <v>1.1368175281707501E-2</v>
      </c>
      <c r="D121" s="5">
        <v>7.2235117727972604E-3</v>
      </c>
      <c r="E121" s="5">
        <v>2.7302308204812699E-3</v>
      </c>
      <c r="F121" s="5">
        <v>7</v>
      </c>
      <c r="G121" s="5">
        <v>100</v>
      </c>
    </row>
    <row r="122" spans="1:7" x14ac:dyDescent="0.2">
      <c r="A122" s="5" t="s">
        <v>68</v>
      </c>
      <c r="B122" s="5" t="s">
        <v>112</v>
      </c>
      <c r="C122" s="5">
        <v>1.10574783676125E-2</v>
      </c>
      <c r="D122" s="5">
        <v>2.84672508098604E-2</v>
      </c>
      <c r="E122" s="5">
        <v>1.0759609450370401E-2</v>
      </c>
      <c r="F122" s="5">
        <v>7</v>
      </c>
      <c r="G122" s="5">
        <v>42.857142857142897</v>
      </c>
    </row>
    <row r="123" spans="1:7" x14ac:dyDescent="0.2">
      <c r="A123" s="5" t="s">
        <v>68</v>
      </c>
      <c r="B123" s="5" t="s">
        <v>90</v>
      </c>
      <c r="C123" s="5">
        <v>8.4525556045781294E-3</v>
      </c>
      <c r="D123" s="5">
        <v>5.8755182223806301E-3</v>
      </c>
      <c r="E123" s="5">
        <v>2.22073714857821E-3</v>
      </c>
      <c r="F123" s="5">
        <v>7</v>
      </c>
      <c r="G123" s="5">
        <v>100</v>
      </c>
    </row>
    <row r="124" spans="1:7" x14ac:dyDescent="0.2">
      <c r="A124" s="5" t="s">
        <v>68</v>
      </c>
      <c r="B124" s="5" t="s">
        <v>102</v>
      </c>
      <c r="C124" s="5">
        <v>8.4089733214764307E-3</v>
      </c>
      <c r="D124" s="5">
        <v>9.4623131002838402E-3</v>
      </c>
      <c r="E124" s="5">
        <v>3.5764181843970901E-3</v>
      </c>
      <c r="F124" s="5">
        <v>7</v>
      </c>
      <c r="G124" s="5">
        <v>71.428571428571402</v>
      </c>
    </row>
    <row r="126" spans="1:7" ht="18" x14ac:dyDescent="0.2">
      <c r="A126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4D5C-3B23-0042-803A-6FB889FAE602}">
  <dimension ref="A1:G816"/>
  <sheetViews>
    <sheetView topLeftCell="A23" workbookViewId="0">
      <selection activeCell="A44" sqref="A44"/>
    </sheetView>
  </sheetViews>
  <sheetFormatPr baseColWidth="10" defaultRowHeight="16" x14ac:dyDescent="0.2"/>
  <cols>
    <col min="1" max="1" width="28.6640625" customWidth="1"/>
    <col min="2" max="2" width="18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</cols>
  <sheetData>
    <row r="1" spans="1:7" ht="17" thickBot="1" x14ac:dyDescent="0.25">
      <c r="A1" s="35" t="s">
        <v>213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127</v>
      </c>
      <c r="C2" s="5">
        <v>0.36274835947728301</v>
      </c>
      <c r="D2" s="5">
        <v>0.338460254721341</v>
      </c>
      <c r="E2" s="5">
        <v>5.4905503517175797E-2</v>
      </c>
      <c r="F2" s="5">
        <v>38</v>
      </c>
      <c r="G2" s="5">
        <v>81.578947368420998</v>
      </c>
    </row>
    <row r="3" spans="1:7" x14ac:dyDescent="0.2">
      <c r="A3" s="5" t="str">
        <f t="shared" ref="A3:A12" si="0">"- SOD"</f>
        <v>- SOD</v>
      </c>
      <c r="B3" s="5" t="s">
        <v>128</v>
      </c>
      <c r="C3" s="5">
        <v>0.14623309917702501</v>
      </c>
      <c r="D3" s="5">
        <v>0.21208790521572299</v>
      </c>
      <c r="E3" s="5">
        <v>3.4405201388741098E-2</v>
      </c>
      <c r="F3" s="5">
        <v>38</v>
      </c>
      <c r="G3" s="5">
        <v>65.789473684210506</v>
      </c>
    </row>
    <row r="4" spans="1:7" x14ac:dyDescent="0.2">
      <c r="A4" s="5" t="str">
        <f t="shared" si="0"/>
        <v>- SOD</v>
      </c>
      <c r="B4" s="5" t="s">
        <v>179</v>
      </c>
      <c r="C4" s="5">
        <v>0.119864792540196</v>
      </c>
      <c r="D4" s="5">
        <v>0.23970946024103801</v>
      </c>
      <c r="E4" s="5">
        <v>3.8886009298789201E-2</v>
      </c>
      <c r="F4" s="5">
        <v>38</v>
      </c>
      <c r="G4" s="5">
        <v>39.473684210526301</v>
      </c>
    </row>
    <row r="5" spans="1:7" x14ac:dyDescent="0.2">
      <c r="A5" s="5" t="str">
        <f t="shared" si="0"/>
        <v>- SOD</v>
      </c>
      <c r="B5" s="5" t="s">
        <v>131</v>
      </c>
      <c r="C5" s="5">
        <v>0.11671383391739799</v>
      </c>
      <c r="D5" s="5">
        <v>0.21555718744447799</v>
      </c>
      <c r="E5" s="5">
        <v>3.4967993282193403E-2</v>
      </c>
      <c r="F5" s="5">
        <v>38</v>
      </c>
      <c r="G5" s="5">
        <v>36.842105263157897</v>
      </c>
    </row>
    <row r="6" spans="1:7" x14ac:dyDescent="0.2">
      <c r="A6" s="5" t="str">
        <f t="shared" si="0"/>
        <v>- SOD</v>
      </c>
      <c r="B6" s="5" t="s">
        <v>130</v>
      </c>
      <c r="C6" s="5">
        <v>6.4227607989220906E-2</v>
      </c>
      <c r="D6" s="5">
        <v>0.19304925426264699</v>
      </c>
      <c r="E6" s="5">
        <v>3.1316724374720599E-2</v>
      </c>
      <c r="F6" s="5">
        <v>38</v>
      </c>
      <c r="G6" s="5">
        <v>42.105263157894697</v>
      </c>
    </row>
    <row r="7" spans="1:7" x14ac:dyDescent="0.2">
      <c r="A7" s="5" t="str">
        <f t="shared" si="0"/>
        <v>- SOD</v>
      </c>
      <c r="B7" s="5" t="s">
        <v>133</v>
      </c>
      <c r="C7" s="5">
        <v>5.2860345863115797E-2</v>
      </c>
      <c r="D7" s="5">
        <v>0.18735504059067501</v>
      </c>
      <c r="E7" s="5">
        <v>3.0393000940631101E-2</v>
      </c>
      <c r="F7" s="5">
        <v>38</v>
      </c>
      <c r="G7" s="5">
        <v>21.052631578947398</v>
      </c>
    </row>
    <row r="8" spans="1:7" x14ac:dyDescent="0.2">
      <c r="A8" s="5" t="str">
        <f t="shared" si="0"/>
        <v>- SOD</v>
      </c>
      <c r="B8" s="5" t="s">
        <v>180</v>
      </c>
      <c r="C8" s="5">
        <v>4.2784522273974501E-2</v>
      </c>
      <c r="D8" s="5">
        <v>0.133974074609091</v>
      </c>
      <c r="E8" s="5">
        <v>2.1733464777765499E-2</v>
      </c>
      <c r="F8" s="5">
        <v>38</v>
      </c>
      <c r="G8" s="5">
        <v>15.789473684210501</v>
      </c>
    </row>
    <row r="9" spans="1:7" x14ac:dyDescent="0.2">
      <c r="A9" s="5" t="str">
        <f t="shared" si="0"/>
        <v>- SOD</v>
      </c>
      <c r="B9" s="5" t="s">
        <v>181</v>
      </c>
      <c r="C9" s="5">
        <v>4.1503814447605203E-2</v>
      </c>
      <c r="D9" s="5">
        <v>0.165652096283602</v>
      </c>
      <c r="E9" s="5">
        <v>2.6872318472415901E-2</v>
      </c>
      <c r="F9" s="5">
        <v>38</v>
      </c>
      <c r="G9" s="5">
        <v>7.8947368421052602</v>
      </c>
    </row>
    <row r="10" spans="1:7" x14ac:dyDescent="0.2">
      <c r="A10" s="5" t="str">
        <f t="shared" si="0"/>
        <v>- SOD</v>
      </c>
      <c r="B10" s="5" t="s">
        <v>129</v>
      </c>
      <c r="C10" s="5">
        <v>2.5227522970566098E-2</v>
      </c>
      <c r="D10" s="5">
        <v>0.127595595050401</v>
      </c>
      <c r="E10" s="5">
        <v>2.06987387591013E-2</v>
      </c>
      <c r="F10" s="5">
        <v>38</v>
      </c>
      <c r="G10" s="5">
        <v>7.8947368421052602</v>
      </c>
    </row>
    <row r="11" spans="1:7" x14ac:dyDescent="0.2">
      <c r="A11" s="5" t="str">
        <f t="shared" si="0"/>
        <v>- SOD</v>
      </c>
      <c r="B11" s="5" t="s">
        <v>132</v>
      </c>
      <c r="C11" s="5">
        <v>2.4400209220384599E-2</v>
      </c>
      <c r="D11" s="5">
        <v>6.3982399236626103E-2</v>
      </c>
      <c r="E11" s="5">
        <v>1.03793157315213E-2</v>
      </c>
      <c r="F11" s="5">
        <v>38</v>
      </c>
      <c r="G11" s="5">
        <v>26.315789473684202</v>
      </c>
    </row>
    <row r="12" spans="1:7" x14ac:dyDescent="0.2">
      <c r="A12" s="5" t="str">
        <f t="shared" si="0"/>
        <v>- SOD</v>
      </c>
      <c r="B12" s="5" t="s">
        <v>178</v>
      </c>
      <c r="C12" s="41" t="s">
        <v>149</v>
      </c>
      <c r="D12" s="42" t="s">
        <v>149</v>
      </c>
      <c r="E12" s="42" t="s">
        <v>149</v>
      </c>
      <c r="F12" s="42" t="s">
        <v>149</v>
      </c>
      <c r="G12" s="42" t="s">
        <v>149</v>
      </c>
    </row>
    <row r="13" spans="1:7" x14ac:dyDescent="0.2">
      <c r="A13" s="5" t="s">
        <v>65</v>
      </c>
      <c r="B13" s="5" t="s">
        <v>127</v>
      </c>
      <c r="C13" s="5">
        <v>0.44906768378752199</v>
      </c>
      <c r="D13" s="5">
        <v>0.35030281354363901</v>
      </c>
      <c r="E13" s="5">
        <v>7.8330090379301096E-2</v>
      </c>
      <c r="F13" s="5">
        <v>20</v>
      </c>
      <c r="G13" s="5">
        <v>75</v>
      </c>
    </row>
    <row r="14" spans="1:7" x14ac:dyDescent="0.2">
      <c r="A14" s="5" t="s">
        <v>65</v>
      </c>
      <c r="B14" s="5" t="s">
        <v>128</v>
      </c>
      <c r="C14" s="5">
        <v>0.123919164617634</v>
      </c>
      <c r="D14" s="5">
        <v>0.185100571252824</v>
      </c>
      <c r="E14" s="5">
        <v>4.1389745999535897E-2</v>
      </c>
      <c r="F14" s="5">
        <v>20</v>
      </c>
      <c r="G14" s="5">
        <v>65</v>
      </c>
    </row>
    <row r="15" spans="1:7" x14ac:dyDescent="0.2">
      <c r="A15" s="5" t="s">
        <v>65</v>
      </c>
      <c r="B15" s="5" t="s">
        <v>179</v>
      </c>
      <c r="C15" s="5">
        <v>0.103885583079561</v>
      </c>
      <c r="D15" s="5">
        <v>0.16627192476325101</v>
      </c>
      <c r="E15" s="5">
        <v>3.71795326520361E-2</v>
      </c>
      <c r="F15" s="5">
        <v>20</v>
      </c>
      <c r="G15" s="5">
        <v>45</v>
      </c>
    </row>
    <row r="16" spans="1:7" x14ac:dyDescent="0.2">
      <c r="A16" s="5" t="s">
        <v>65</v>
      </c>
      <c r="B16" s="5" t="s">
        <v>130</v>
      </c>
      <c r="C16" s="5">
        <v>8.8182804319058603E-2</v>
      </c>
      <c r="D16" s="5">
        <v>0.17058041452151501</v>
      </c>
      <c r="E16" s="5">
        <v>3.8142940250019998E-2</v>
      </c>
      <c r="F16" s="5">
        <v>20</v>
      </c>
      <c r="G16" s="5">
        <v>35</v>
      </c>
    </row>
    <row r="17" spans="1:7" x14ac:dyDescent="0.2">
      <c r="A17" s="5" t="s">
        <v>65</v>
      </c>
      <c r="B17" s="5" t="s">
        <v>133</v>
      </c>
      <c r="C17" s="5">
        <v>6.6817338495482895E-2</v>
      </c>
      <c r="D17" s="5">
        <v>0.15650211526836399</v>
      </c>
      <c r="E17" s="5">
        <v>3.4994936836256998E-2</v>
      </c>
      <c r="F17" s="5">
        <v>20</v>
      </c>
      <c r="G17" s="5">
        <v>40</v>
      </c>
    </row>
    <row r="18" spans="1:7" x14ac:dyDescent="0.2">
      <c r="A18" s="5" t="s">
        <v>65</v>
      </c>
      <c r="B18" s="5" t="s">
        <v>129</v>
      </c>
      <c r="C18" s="5">
        <v>5.3099700275277703E-2</v>
      </c>
      <c r="D18" s="5">
        <v>0.13441060710273001</v>
      </c>
      <c r="E18" s="5">
        <v>3.0055125437872001E-2</v>
      </c>
      <c r="F18" s="5">
        <v>20</v>
      </c>
      <c r="G18" s="5">
        <v>20</v>
      </c>
    </row>
    <row r="19" spans="1:7" x14ac:dyDescent="0.2">
      <c r="A19" s="5" t="s">
        <v>65</v>
      </c>
      <c r="B19" s="5" t="s">
        <v>181</v>
      </c>
      <c r="C19" s="5">
        <v>4.2004937299680099E-2</v>
      </c>
      <c r="D19" s="5">
        <v>0.13315430734678299</v>
      </c>
      <c r="E19" s="5">
        <v>2.9774208272430599E-2</v>
      </c>
      <c r="F19" s="5">
        <v>20</v>
      </c>
      <c r="G19" s="5">
        <v>20</v>
      </c>
    </row>
    <row r="20" spans="1:7" x14ac:dyDescent="0.2">
      <c r="A20" s="5" t="s">
        <v>65</v>
      </c>
      <c r="B20" s="5" t="s">
        <v>131</v>
      </c>
      <c r="C20" s="5">
        <v>3.4024042266336603E-2</v>
      </c>
      <c r="D20" s="5">
        <v>9.9400596684055001E-2</v>
      </c>
      <c r="E20" s="5">
        <v>2.2226649118958702E-2</v>
      </c>
      <c r="F20" s="5">
        <v>20</v>
      </c>
      <c r="G20" s="5">
        <v>25</v>
      </c>
    </row>
    <row r="21" spans="1:7" x14ac:dyDescent="0.2">
      <c r="A21" s="5" t="s">
        <v>65</v>
      </c>
      <c r="B21" s="5" t="s">
        <v>203</v>
      </c>
      <c r="C21" s="5">
        <v>1.41698414649134E-2</v>
      </c>
      <c r="D21" s="5">
        <v>6.33694574918829E-2</v>
      </c>
      <c r="E21" s="5">
        <v>1.41698414649134E-2</v>
      </c>
      <c r="F21" s="5">
        <v>20</v>
      </c>
      <c r="G21" s="5">
        <v>5</v>
      </c>
    </row>
    <row r="22" spans="1:7" x14ac:dyDescent="0.2">
      <c r="A22" s="5" t="s">
        <v>65</v>
      </c>
      <c r="B22" s="5" t="s">
        <v>132</v>
      </c>
      <c r="C22" s="5">
        <v>1.1007738713251501E-2</v>
      </c>
      <c r="D22" s="5">
        <v>2.5614192651962901E-2</v>
      </c>
      <c r="E22" s="5">
        <v>5.7275075958564603E-3</v>
      </c>
      <c r="F22" s="5">
        <v>20</v>
      </c>
      <c r="G22" s="5">
        <v>40</v>
      </c>
    </row>
    <row r="23" spans="1:7" x14ac:dyDescent="0.2">
      <c r="A23" s="5" t="s">
        <v>65</v>
      </c>
      <c r="B23" s="5" t="s">
        <v>178</v>
      </c>
      <c r="C23" s="41" t="s">
        <v>149</v>
      </c>
      <c r="D23" s="42" t="s">
        <v>149</v>
      </c>
      <c r="E23" s="42" t="s">
        <v>149</v>
      </c>
      <c r="F23" s="42" t="s">
        <v>149</v>
      </c>
      <c r="G23" s="42" t="s">
        <v>149</v>
      </c>
    </row>
    <row r="24" spans="1:7" x14ac:dyDescent="0.2">
      <c r="A24" s="5" t="s">
        <v>66</v>
      </c>
      <c r="B24" s="5" t="s">
        <v>182</v>
      </c>
      <c r="C24" s="5">
        <v>0.30119940963306702</v>
      </c>
      <c r="D24" s="5">
        <v>0.46521904576792</v>
      </c>
      <c r="E24" s="5">
        <v>0.26859434130624998</v>
      </c>
      <c r="F24" s="5">
        <v>3</v>
      </c>
      <c r="G24" s="5">
        <v>66.6666666666667</v>
      </c>
    </row>
    <row r="25" spans="1:7" x14ac:dyDescent="0.2">
      <c r="A25" s="5" t="s">
        <v>66</v>
      </c>
      <c r="B25" s="5" t="s">
        <v>127</v>
      </c>
      <c r="C25" s="5">
        <v>0.277660571964369</v>
      </c>
      <c r="D25" s="5">
        <v>0.48092221790092199</v>
      </c>
      <c r="E25" s="5">
        <v>0.277660571964369</v>
      </c>
      <c r="F25" s="5">
        <v>3</v>
      </c>
      <c r="G25" s="5">
        <v>33.3333333333333</v>
      </c>
    </row>
    <row r="26" spans="1:7" x14ac:dyDescent="0.2">
      <c r="A26" s="5" t="s">
        <v>66</v>
      </c>
      <c r="B26" s="5" t="s">
        <v>131</v>
      </c>
      <c r="C26" s="5">
        <v>0.18694568141375401</v>
      </c>
      <c r="D26" s="5">
        <v>0.25822855725907101</v>
      </c>
      <c r="E26" s="5">
        <v>0.149088327045973</v>
      </c>
      <c r="F26" s="5">
        <v>3</v>
      </c>
      <c r="G26" s="5">
        <v>66.6666666666667</v>
      </c>
    </row>
    <row r="27" spans="1:7" x14ac:dyDescent="0.2">
      <c r="A27" s="5" t="s">
        <v>66</v>
      </c>
      <c r="B27" s="5" t="s">
        <v>132</v>
      </c>
      <c r="C27" s="5">
        <v>8.97552656677294E-2</v>
      </c>
      <c r="D27" s="5">
        <v>0.14862438713946599</v>
      </c>
      <c r="E27" s="5">
        <v>8.5808329923114005E-2</v>
      </c>
      <c r="F27" s="5">
        <v>3</v>
      </c>
      <c r="G27" s="5">
        <v>66.6666666666667</v>
      </c>
    </row>
    <row r="28" spans="1:7" x14ac:dyDescent="0.2">
      <c r="A28" s="5" t="s">
        <v>66</v>
      </c>
      <c r="B28" s="5" t="s">
        <v>133</v>
      </c>
      <c r="C28" s="5">
        <v>8.7112174008760604E-2</v>
      </c>
      <c r="D28" s="5">
        <v>0.14032275619458401</v>
      </c>
      <c r="E28" s="5">
        <v>8.1015381062373298E-2</v>
      </c>
      <c r="F28" s="5">
        <v>3</v>
      </c>
      <c r="G28" s="5">
        <v>66.6666666666667</v>
      </c>
    </row>
    <row r="29" spans="1:7" x14ac:dyDescent="0.2">
      <c r="A29" s="5" t="s">
        <v>66</v>
      </c>
      <c r="B29" s="5" t="s">
        <v>128</v>
      </c>
      <c r="C29" s="5">
        <v>5.4797793335221001E-2</v>
      </c>
      <c r="D29" s="5">
        <v>9.3699243853437905E-2</v>
      </c>
      <c r="E29" s="5">
        <v>5.4097283661646803E-2</v>
      </c>
      <c r="F29" s="5">
        <v>3</v>
      </c>
      <c r="G29" s="5">
        <v>66.6666666666667</v>
      </c>
    </row>
    <row r="30" spans="1:7" x14ac:dyDescent="0.2">
      <c r="A30" s="5" t="s">
        <v>66</v>
      </c>
      <c r="B30" s="5" t="s">
        <v>178</v>
      </c>
      <c r="C30" s="41" t="s">
        <v>149</v>
      </c>
      <c r="D30" s="42" t="s">
        <v>149</v>
      </c>
      <c r="E30" s="42" t="s">
        <v>149</v>
      </c>
      <c r="F30" s="42" t="s">
        <v>149</v>
      </c>
      <c r="G30" s="42" t="s">
        <v>149</v>
      </c>
    </row>
    <row r="31" spans="1:7" x14ac:dyDescent="0.2">
      <c r="A31" s="5" t="s">
        <v>67</v>
      </c>
      <c r="B31" s="5" t="s">
        <v>133</v>
      </c>
      <c r="C31" s="5">
        <v>0.413605156832901</v>
      </c>
      <c r="D31" s="5">
        <v>0.42502372329476001</v>
      </c>
      <c r="E31" s="5">
        <v>0.16064386759152299</v>
      </c>
      <c r="F31" s="5">
        <v>7</v>
      </c>
      <c r="G31" s="5">
        <v>85.714285714285694</v>
      </c>
    </row>
    <row r="32" spans="1:7" x14ac:dyDescent="0.2">
      <c r="A32" s="5" t="s">
        <v>67</v>
      </c>
      <c r="B32" s="5" t="s">
        <v>127</v>
      </c>
      <c r="C32" s="5">
        <v>0.40284847004604302</v>
      </c>
      <c r="D32" s="5">
        <v>0.42866708468430997</v>
      </c>
      <c r="E32" s="5">
        <v>0.16202092875910701</v>
      </c>
      <c r="F32" s="5">
        <v>7</v>
      </c>
      <c r="G32" s="5">
        <v>57.142857142857103</v>
      </c>
    </row>
    <row r="33" spans="1:7" x14ac:dyDescent="0.2">
      <c r="A33" s="5" t="s">
        <v>67</v>
      </c>
      <c r="B33" s="5" t="s">
        <v>128</v>
      </c>
      <c r="C33" s="5">
        <v>9.1414633374300502E-2</v>
      </c>
      <c r="D33" s="5">
        <v>0.20128107807769399</v>
      </c>
      <c r="E33" s="5">
        <v>7.6077096602364794E-2</v>
      </c>
      <c r="F33" s="5">
        <v>7</v>
      </c>
      <c r="G33" s="5">
        <v>28.571428571428601</v>
      </c>
    </row>
    <row r="34" spans="1:7" x14ac:dyDescent="0.2">
      <c r="A34" s="5" t="s">
        <v>67</v>
      </c>
      <c r="B34" s="5" t="s">
        <v>130</v>
      </c>
      <c r="C34" s="5">
        <v>5.7340903229370799E-2</v>
      </c>
      <c r="D34" s="5">
        <v>0.147503735195048</v>
      </c>
      <c r="E34" s="5">
        <v>5.5751171539888802E-2</v>
      </c>
      <c r="F34" s="5">
        <v>7</v>
      </c>
      <c r="G34" s="5">
        <v>28.571428571428601</v>
      </c>
    </row>
    <row r="35" spans="1:7" x14ac:dyDescent="0.2">
      <c r="A35" s="5" t="s">
        <v>67</v>
      </c>
      <c r="B35" s="5" t="s">
        <v>178</v>
      </c>
      <c r="C35" s="41" t="s">
        <v>149</v>
      </c>
      <c r="D35" s="42" t="s">
        <v>149</v>
      </c>
      <c r="E35" s="42" t="s">
        <v>149</v>
      </c>
      <c r="F35" s="42" t="s">
        <v>149</v>
      </c>
      <c r="G35" s="42" t="s">
        <v>149</v>
      </c>
    </row>
    <row r="36" spans="1:7" x14ac:dyDescent="0.2">
      <c r="A36" s="5" t="s">
        <v>67</v>
      </c>
      <c r="B36" s="5" t="s">
        <v>182</v>
      </c>
      <c r="C36" s="5">
        <v>1.6214630779848201E-2</v>
      </c>
      <c r="D36" s="5">
        <v>4.2899880644211602E-2</v>
      </c>
      <c r="E36" s="5">
        <v>1.6214630779848201E-2</v>
      </c>
      <c r="F36" s="5">
        <v>7</v>
      </c>
      <c r="G36" s="5">
        <v>14.285714285714301</v>
      </c>
    </row>
    <row r="37" spans="1:7" x14ac:dyDescent="0.2">
      <c r="A37" s="5" t="s">
        <v>68</v>
      </c>
      <c r="B37" s="5" t="s">
        <v>127</v>
      </c>
      <c r="C37" s="5">
        <v>0.35744829830983099</v>
      </c>
      <c r="D37" s="5">
        <v>0.38830625898187698</v>
      </c>
      <c r="E37" s="5">
        <v>0.158525366405769</v>
      </c>
      <c r="F37" s="5">
        <v>6</v>
      </c>
      <c r="G37" s="5">
        <v>66.6666666666667</v>
      </c>
    </row>
    <row r="38" spans="1:7" x14ac:dyDescent="0.2">
      <c r="A38" s="5" t="s">
        <v>68</v>
      </c>
      <c r="B38" s="5" t="s">
        <v>133</v>
      </c>
      <c r="C38" s="5">
        <v>0.23125965427005199</v>
      </c>
      <c r="D38" s="5">
        <v>0.35843266812604302</v>
      </c>
      <c r="E38" s="5">
        <v>0.14632952400885799</v>
      </c>
      <c r="F38" s="5">
        <v>6</v>
      </c>
      <c r="G38" s="5">
        <v>66.6666666666667</v>
      </c>
    </row>
    <row r="39" spans="1:7" x14ac:dyDescent="0.2">
      <c r="A39" s="5" t="s">
        <v>68</v>
      </c>
      <c r="B39" s="5" t="s">
        <v>131</v>
      </c>
      <c r="C39" s="5">
        <v>0.179329046479802</v>
      </c>
      <c r="D39" s="5">
        <v>0.40125867992897202</v>
      </c>
      <c r="E39" s="5">
        <v>0.16381317011478899</v>
      </c>
      <c r="F39" s="5">
        <v>6</v>
      </c>
      <c r="G39" s="5">
        <v>66.6666666666667</v>
      </c>
    </row>
    <row r="40" spans="1:7" x14ac:dyDescent="0.2">
      <c r="A40" s="5" t="s">
        <v>68</v>
      </c>
      <c r="B40" s="5" t="s">
        <v>128</v>
      </c>
      <c r="C40" s="5">
        <v>0.173341265872135</v>
      </c>
      <c r="D40" s="5">
        <v>0.237400643310093</v>
      </c>
      <c r="E40" s="5">
        <v>9.6918406786366804E-2</v>
      </c>
      <c r="F40" s="5">
        <v>6</v>
      </c>
      <c r="G40" s="5">
        <v>83.3333333333333</v>
      </c>
    </row>
    <row r="41" spans="1:7" x14ac:dyDescent="0.2">
      <c r="A41" s="5" t="s">
        <v>68</v>
      </c>
      <c r="B41" s="5" t="s">
        <v>179</v>
      </c>
      <c r="C41" s="5">
        <v>3.1141942952703599E-2</v>
      </c>
      <c r="D41" s="5">
        <v>7.5036882144465203E-2</v>
      </c>
      <c r="E41" s="5">
        <v>3.0633678857216299E-2</v>
      </c>
      <c r="F41" s="5">
        <v>6</v>
      </c>
      <c r="G41" s="5">
        <v>33.3333333333333</v>
      </c>
    </row>
    <row r="42" spans="1:7" x14ac:dyDescent="0.2">
      <c r="A42" s="5" t="s">
        <v>68</v>
      </c>
      <c r="B42" s="5" t="s">
        <v>178</v>
      </c>
      <c r="C42" s="41" t="s">
        <v>149</v>
      </c>
      <c r="D42" s="42" t="s">
        <v>149</v>
      </c>
      <c r="E42" s="42" t="s">
        <v>149</v>
      </c>
      <c r="F42" s="42" t="s">
        <v>149</v>
      </c>
      <c r="G42" s="42" t="s">
        <v>149</v>
      </c>
    </row>
    <row r="44" spans="1:7" ht="18" x14ac:dyDescent="0.2">
      <c r="A44" s="1" t="s">
        <v>217</v>
      </c>
    </row>
    <row r="188" spans="3:6" x14ac:dyDescent="0.2">
      <c r="C188" s="38"/>
      <c r="F188" s="38"/>
    </row>
    <row r="189" spans="3:6" x14ac:dyDescent="0.2">
      <c r="C189" s="38"/>
      <c r="F189" s="38"/>
    </row>
    <row r="190" spans="3:6" x14ac:dyDescent="0.2">
      <c r="C190" s="38"/>
      <c r="F190" s="38"/>
    </row>
    <row r="191" spans="3:6" x14ac:dyDescent="0.2">
      <c r="C191" s="38"/>
      <c r="F191" s="38"/>
    </row>
    <row r="192" spans="3:6" x14ac:dyDescent="0.2">
      <c r="C192" s="38"/>
      <c r="F192" s="38"/>
    </row>
    <row r="193" spans="3:6" x14ac:dyDescent="0.2">
      <c r="C193" s="38"/>
      <c r="F193" s="38"/>
    </row>
    <row r="194" spans="3:6" x14ac:dyDescent="0.2">
      <c r="C194" s="38"/>
      <c r="F194" s="38"/>
    </row>
    <row r="195" spans="3:6" x14ac:dyDescent="0.2">
      <c r="C195" s="38"/>
      <c r="F195" s="38"/>
    </row>
    <row r="196" spans="3:6" x14ac:dyDescent="0.2">
      <c r="C196" s="38"/>
      <c r="F196" s="38"/>
    </row>
    <row r="197" spans="3:6" x14ac:dyDescent="0.2">
      <c r="C197" s="38"/>
      <c r="F197" s="38"/>
    </row>
    <row r="198" spans="3:6" x14ac:dyDescent="0.2">
      <c r="C198" s="38"/>
      <c r="F198" s="38"/>
    </row>
    <row r="199" spans="3:6" x14ac:dyDescent="0.2">
      <c r="C199" s="38"/>
      <c r="F199" s="38"/>
    </row>
    <row r="200" spans="3:6" x14ac:dyDescent="0.2">
      <c r="C200" s="38"/>
      <c r="F200" s="38"/>
    </row>
    <row r="201" spans="3:6" x14ac:dyDescent="0.2">
      <c r="C201" s="38"/>
      <c r="F201" s="38"/>
    </row>
    <row r="202" spans="3:6" x14ac:dyDescent="0.2">
      <c r="C202" s="38"/>
      <c r="F202" s="38"/>
    </row>
    <row r="203" spans="3:6" x14ac:dyDescent="0.2">
      <c r="C203" s="38"/>
      <c r="F203" s="38"/>
    </row>
    <row r="204" spans="3:6" x14ac:dyDescent="0.2">
      <c r="C204" s="38"/>
      <c r="F204" s="38"/>
    </row>
    <row r="205" spans="3:6" x14ac:dyDescent="0.2">
      <c r="C205" s="38"/>
      <c r="F205" s="38"/>
    </row>
    <row r="206" spans="3:6" x14ac:dyDescent="0.2">
      <c r="C206" s="38"/>
      <c r="F206" s="38"/>
    </row>
    <row r="207" spans="3:6" x14ac:dyDescent="0.2">
      <c r="C207" s="38"/>
      <c r="F207" s="38"/>
    </row>
    <row r="208" spans="3:6" x14ac:dyDescent="0.2">
      <c r="C208" s="38"/>
      <c r="F208" s="38"/>
    </row>
    <row r="209" spans="3:6" x14ac:dyDescent="0.2">
      <c r="C209" s="38"/>
      <c r="F209" s="38"/>
    </row>
    <row r="210" spans="3:6" x14ac:dyDescent="0.2">
      <c r="C210" s="38"/>
      <c r="F210" s="38"/>
    </row>
    <row r="211" spans="3:6" x14ac:dyDescent="0.2">
      <c r="C211" s="38"/>
      <c r="F211" s="38"/>
    </row>
    <row r="212" spans="3:6" x14ac:dyDescent="0.2">
      <c r="C212" s="38"/>
      <c r="F212" s="38"/>
    </row>
    <row r="213" spans="3:6" x14ac:dyDescent="0.2">
      <c r="C213" s="38"/>
      <c r="F213" s="38"/>
    </row>
    <row r="214" spans="3:6" x14ac:dyDescent="0.2">
      <c r="C214" s="38"/>
      <c r="F214" s="38"/>
    </row>
    <row r="215" spans="3:6" x14ac:dyDescent="0.2">
      <c r="C215" s="38"/>
      <c r="F215" s="38"/>
    </row>
    <row r="216" spans="3:6" x14ac:dyDescent="0.2">
      <c r="C216" s="38"/>
      <c r="F216" s="38"/>
    </row>
    <row r="217" spans="3:6" x14ac:dyDescent="0.2">
      <c r="C217" s="38"/>
      <c r="F217" s="38"/>
    </row>
    <row r="218" spans="3:6" x14ac:dyDescent="0.2">
      <c r="C218" s="38"/>
      <c r="F218" s="38"/>
    </row>
    <row r="219" spans="3:6" x14ac:dyDescent="0.2">
      <c r="C219" s="38"/>
      <c r="F219" s="38"/>
    </row>
    <row r="220" spans="3:6" x14ac:dyDescent="0.2">
      <c r="C220" s="38"/>
      <c r="F220" s="38"/>
    </row>
    <row r="221" spans="3:6" x14ac:dyDescent="0.2">
      <c r="C221" s="38"/>
      <c r="F221" s="38"/>
    </row>
    <row r="222" spans="3:6" x14ac:dyDescent="0.2">
      <c r="C222" s="38"/>
      <c r="F222" s="38"/>
    </row>
    <row r="223" spans="3:6" x14ac:dyDescent="0.2">
      <c r="C223" s="38"/>
      <c r="F223" s="38"/>
    </row>
    <row r="224" spans="3:6" x14ac:dyDescent="0.2">
      <c r="C224" s="38"/>
      <c r="F224" s="38"/>
    </row>
    <row r="225" spans="3:6" x14ac:dyDescent="0.2">
      <c r="C225" s="38"/>
      <c r="F225" s="38"/>
    </row>
    <row r="226" spans="3:6" x14ac:dyDescent="0.2">
      <c r="C226" s="38"/>
      <c r="F226" s="38"/>
    </row>
    <row r="227" spans="3:6" x14ac:dyDescent="0.2">
      <c r="C227" s="38"/>
      <c r="F227" s="38"/>
    </row>
    <row r="228" spans="3:6" x14ac:dyDescent="0.2">
      <c r="C228" s="38"/>
      <c r="F228" s="38"/>
    </row>
    <row r="229" spans="3:6" x14ac:dyDescent="0.2">
      <c r="C229" s="38"/>
      <c r="F229" s="38"/>
    </row>
    <row r="230" spans="3:6" x14ac:dyDescent="0.2">
      <c r="C230" s="38"/>
      <c r="F230" s="38"/>
    </row>
    <row r="231" spans="3:6" x14ac:dyDescent="0.2">
      <c r="C231" s="38"/>
      <c r="F231" s="38"/>
    </row>
    <row r="232" spans="3:6" x14ac:dyDescent="0.2">
      <c r="C232" s="38"/>
      <c r="F232" s="38"/>
    </row>
    <row r="233" spans="3:6" x14ac:dyDescent="0.2">
      <c r="C233" s="38"/>
      <c r="F233" s="38"/>
    </row>
    <row r="234" spans="3:6" x14ac:dyDescent="0.2">
      <c r="C234" s="38"/>
      <c r="F234" s="38"/>
    </row>
    <row r="235" spans="3:6" x14ac:dyDescent="0.2">
      <c r="C235" s="38"/>
      <c r="F235" s="38"/>
    </row>
    <row r="236" spans="3:6" x14ac:dyDescent="0.2">
      <c r="C236" s="38"/>
      <c r="F236" s="38"/>
    </row>
    <row r="237" spans="3:6" x14ac:dyDescent="0.2">
      <c r="C237" s="38"/>
      <c r="F237" s="38"/>
    </row>
    <row r="238" spans="3:6" x14ac:dyDescent="0.2">
      <c r="C238" s="38"/>
      <c r="F238" s="38"/>
    </row>
    <row r="239" spans="3:6" x14ac:dyDescent="0.2">
      <c r="C239" s="38"/>
      <c r="F239" s="38"/>
    </row>
    <row r="240" spans="3:6" x14ac:dyDescent="0.2">
      <c r="C240" s="38"/>
      <c r="F240" s="38"/>
    </row>
    <row r="241" spans="3:6" x14ac:dyDescent="0.2">
      <c r="C241" s="38"/>
      <c r="F241" s="38"/>
    </row>
    <row r="242" spans="3:6" x14ac:dyDescent="0.2">
      <c r="C242" s="38"/>
      <c r="F242" s="38"/>
    </row>
    <row r="243" spans="3:6" x14ac:dyDescent="0.2">
      <c r="C243" s="38"/>
      <c r="F243" s="38"/>
    </row>
    <row r="244" spans="3:6" x14ac:dyDescent="0.2">
      <c r="C244" s="38"/>
      <c r="F244" s="38"/>
    </row>
    <row r="245" spans="3:6" x14ac:dyDescent="0.2">
      <c r="C245" s="38"/>
      <c r="F245" s="38"/>
    </row>
    <row r="246" spans="3:6" x14ac:dyDescent="0.2">
      <c r="C246" s="38"/>
      <c r="F246" s="38"/>
    </row>
    <row r="247" spans="3:6" x14ac:dyDescent="0.2">
      <c r="C247" s="38"/>
      <c r="F247" s="38"/>
    </row>
    <row r="248" spans="3:6" x14ac:dyDescent="0.2">
      <c r="C248" s="38"/>
      <c r="F248" s="38"/>
    </row>
    <row r="249" spans="3:6" x14ac:dyDescent="0.2">
      <c r="C249" s="38"/>
      <c r="F249" s="38"/>
    </row>
    <row r="250" spans="3:6" x14ac:dyDescent="0.2">
      <c r="C250" s="38"/>
      <c r="F250" s="38"/>
    </row>
    <row r="251" spans="3:6" x14ac:dyDescent="0.2">
      <c r="C251" s="38"/>
      <c r="F251" s="38"/>
    </row>
    <row r="252" spans="3:6" x14ac:dyDescent="0.2">
      <c r="C252" s="38"/>
      <c r="F252" s="38"/>
    </row>
    <row r="253" spans="3:6" x14ac:dyDescent="0.2">
      <c r="C253" s="38"/>
      <c r="F253" s="38"/>
    </row>
    <row r="254" spans="3:6" x14ac:dyDescent="0.2">
      <c r="C254" s="38"/>
      <c r="F254" s="38"/>
    </row>
    <row r="255" spans="3:6" x14ac:dyDescent="0.2">
      <c r="C255" s="38"/>
      <c r="F255" s="38"/>
    </row>
    <row r="256" spans="3:6" x14ac:dyDescent="0.2">
      <c r="C256" s="38"/>
      <c r="F256" s="38"/>
    </row>
    <row r="257" spans="3:6" x14ac:dyDescent="0.2">
      <c r="C257" s="38"/>
      <c r="F257" s="38"/>
    </row>
    <row r="258" spans="3:6" x14ac:dyDescent="0.2">
      <c r="C258" s="38"/>
      <c r="F258" s="38"/>
    </row>
    <row r="259" spans="3:6" x14ac:dyDescent="0.2">
      <c r="C259" s="38"/>
      <c r="F259" s="38"/>
    </row>
    <row r="260" spans="3:6" x14ac:dyDescent="0.2">
      <c r="C260" s="38"/>
      <c r="F260" s="38"/>
    </row>
    <row r="261" spans="3:6" x14ac:dyDescent="0.2">
      <c r="C261" s="38"/>
      <c r="F261" s="38"/>
    </row>
    <row r="262" spans="3:6" x14ac:dyDescent="0.2">
      <c r="C262" s="38"/>
      <c r="F262" s="38"/>
    </row>
    <row r="263" spans="3:6" x14ac:dyDescent="0.2">
      <c r="C263" s="38"/>
      <c r="F263" s="38"/>
    </row>
    <row r="264" spans="3:6" x14ac:dyDescent="0.2">
      <c r="C264" s="38"/>
      <c r="F264" s="38"/>
    </row>
    <row r="265" spans="3:6" x14ac:dyDescent="0.2">
      <c r="C265" s="38"/>
      <c r="F265" s="38"/>
    </row>
    <row r="266" spans="3:6" x14ac:dyDescent="0.2">
      <c r="C266" s="38"/>
      <c r="F266" s="38"/>
    </row>
    <row r="267" spans="3:6" x14ac:dyDescent="0.2">
      <c r="C267" s="38"/>
      <c r="F267" s="38"/>
    </row>
    <row r="268" spans="3:6" x14ac:dyDescent="0.2">
      <c r="C268" s="38"/>
      <c r="D268" s="38"/>
      <c r="F268" s="38"/>
    </row>
    <row r="269" spans="3:6" x14ac:dyDescent="0.2">
      <c r="C269" s="38"/>
      <c r="F269" s="38"/>
    </row>
    <row r="270" spans="3:6" x14ac:dyDescent="0.2">
      <c r="C270" s="38"/>
      <c r="F270" s="38"/>
    </row>
    <row r="271" spans="3:6" x14ac:dyDescent="0.2">
      <c r="C271" s="38"/>
      <c r="F271" s="38"/>
    </row>
    <row r="272" spans="3:6" x14ac:dyDescent="0.2">
      <c r="C272" s="38"/>
      <c r="F272" s="38"/>
    </row>
    <row r="273" spans="3:6" x14ac:dyDescent="0.2">
      <c r="C273" s="38"/>
      <c r="F273" s="38"/>
    </row>
    <row r="274" spans="3:6" x14ac:dyDescent="0.2">
      <c r="C274" s="38"/>
      <c r="F274" s="38"/>
    </row>
    <row r="275" spans="3:6" x14ac:dyDescent="0.2">
      <c r="C275" s="38"/>
      <c r="F275" s="38"/>
    </row>
    <row r="276" spans="3:6" x14ac:dyDescent="0.2">
      <c r="C276" s="38"/>
      <c r="F276" s="38"/>
    </row>
    <row r="277" spans="3:6" x14ac:dyDescent="0.2">
      <c r="C277" s="38"/>
      <c r="D277" s="38"/>
      <c r="F277" s="38"/>
    </row>
    <row r="278" spans="3:6" x14ac:dyDescent="0.2">
      <c r="C278" s="38"/>
      <c r="D278" s="38"/>
      <c r="F278" s="38"/>
    </row>
    <row r="279" spans="3:6" x14ac:dyDescent="0.2">
      <c r="C279" s="38"/>
      <c r="D279" s="38"/>
      <c r="F279" s="38"/>
    </row>
    <row r="280" spans="3:6" x14ac:dyDescent="0.2">
      <c r="C280" s="38"/>
      <c r="D280" s="38"/>
      <c r="F280" s="38"/>
    </row>
    <row r="281" spans="3:6" x14ac:dyDescent="0.2">
      <c r="C281" s="38"/>
      <c r="D281" s="38"/>
      <c r="F281" s="38"/>
    </row>
    <row r="282" spans="3:6" x14ac:dyDescent="0.2">
      <c r="C282" s="38"/>
      <c r="D282" s="38"/>
      <c r="F282" s="38"/>
    </row>
    <row r="283" spans="3:6" x14ac:dyDescent="0.2">
      <c r="C283" s="38"/>
      <c r="D283" s="38"/>
      <c r="F283" s="38"/>
    </row>
    <row r="284" spans="3:6" x14ac:dyDescent="0.2">
      <c r="C284" s="38"/>
      <c r="D284" s="38"/>
      <c r="F284" s="38"/>
    </row>
    <row r="285" spans="3:6" x14ac:dyDescent="0.2">
      <c r="C285" s="38"/>
      <c r="D285" s="38"/>
      <c r="F285" s="38"/>
    </row>
    <row r="286" spans="3:6" x14ac:dyDescent="0.2">
      <c r="C286" s="38"/>
      <c r="D286" s="38"/>
      <c r="F286" s="38"/>
    </row>
    <row r="287" spans="3:6" x14ac:dyDescent="0.2">
      <c r="C287" s="38"/>
      <c r="D287" s="38"/>
      <c r="F287" s="38"/>
    </row>
    <row r="288" spans="3:6" x14ac:dyDescent="0.2">
      <c r="C288" s="38"/>
      <c r="D288" s="38"/>
      <c r="F288" s="38"/>
    </row>
    <row r="289" spans="3:6" x14ac:dyDescent="0.2">
      <c r="C289" s="38"/>
      <c r="D289" s="38"/>
      <c r="F289" s="38"/>
    </row>
    <row r="698" spans="3:6" x14ac:dyDescent="0.2">
      <c r="C698" s="38"/>
      <c r="F698" s="38"/>
    </row>
    <row r="699" spans="3:6" x14ac:dyDescent="0.2">
      <c r="C699" s="38"/>
      <c r="F699" s="38"/>
    </row>
    <row r="700" spans="3:6" x14ac:dyDescent="0.2">
      <c r="C700" s="38"/>
      <c r="F700" s="38"/>
    </row>
    <row r="701" spans="3:6" x14ac:dyDescent="0.2">
      <c r="C701" s="38"/>
      <c r="F701" s="38"/>
    </row>
    <row r="702" spans="3:6" x14ac:dyDescent="0.2">
      <c r="C702" s="38"/>
      <c r="F702" s="38"/>
    </row>
    <row r="703" spans="3:6" x14ac:dyDescent="0.2">
      <c r="C703" s="38"/>
      <c r="F703" s="38"/>
    </row>
    <row r="704" spans="3:6" x14ac:dyDescent="0.2">
      <c r="C704" s="38"/>
      <c r="F704" s="38"/>
    </row>
    <row r="705" spans="3:6" x14ac:dyDescent="0.2">
      <c r="C705" s="38"/>
      <c r="F705" s="38"/>
    </row>
    <row r="706" spans="3:6" x14ac:dyDescent="0.2">
      <c r="C706" s="38"/>
      <c r="F706" s="38"/>
    </row>
    <row r="707" spans="3:6" x14ac:dyDescent="0.2">
      <c r="C707" s="38"/>
      <c r="F707" s="38"/>
    </row>
    <row r="708" spans="3:6" x14ac:dyDescent="0.2">
      <c r="C708" s="38"/>
      <c r="F708" s="38"/>
    </row>
    <row r="709" spans="3:6" x14ac:dyDescent="0.2">
      <c r="C709" s="38"/>
      <c r="F709" s="38"/>
    </row>
    <row r="710" spans="3:6" x14ac:dyDescent="0.2">
      <c r="C710" s="38"/>
      <c r="F710" s="38"/>
    </row>
    <row r="711" spans="3:6" x14ac:dyDescent="0.2">
      <c r="C711" s="38"/>
      <c r="F711" s="38"/>
    </row>
    <row r="712" spans="3:6" x14ac:dyDescent="0.2">
      <c r="C712" s="38"/>
      <c r="F712" s="38"/>
    </row>
    <row r="713" spans="3:6" x14ac:dyDescent="0.2">
      <c r="C713" s="38"/>
      <c r="F713" s="38"/>
    </row>
    <row r="714" spans="3:6" x14ac:dyDescent="0.2">
      <c r="C714" s="38"/>
      <c r="F714" s="38"/>
    </row>
    <row r="715" spans="3:6" x14ac:dyDescent="0.2">
      <c r="C715" s="38"/>
      <c r="F715" s="38"/>
    </row>
    <row r="716" spans="3:6" x14ac:dyDescent="0.2">
      <c r="C716" s="38"/>
      <c r="F716" s="38"/>
    </row>
    <row r="717" spans="3:6" x14ac:dyDescent="0.2">
      <c r="C717" s="38"/>
      <c r="F717" s="38"/>
    </row>
    <row r="718" spans="3:6" x14ac:dyDescent="0.2">
      <c r="C718" s="38"/>
      <c r="F718" s="38"/>
    </row>
    <row r="719" spans="3:6" x14ac:dyDescent="0.2">
      <c r="C719" s="38"/>
      <c r="F719" s="38"/>
    </row>
    <row r="720" spans="3:6" x14ac:dyDescent="0.2">
      <c r="C720" s="38"/>
      <c r="F720" s="38"/>
    </row>
    <row r="721" spans="3:6" x14ac:dyDescent="0.2">
      <c r="C721" s="38"/>
      <c r="F721" s="38"/>
    </row>
    <row r="722" spans="3:6" x14ac:dyDescent="0.2">
      <c r="C722" s="38"/>
      <c r="F722" s="38"/>
    </row>
    <row r="723" spans="3:6" x14ac:dyDescent="0.2">
      <c r="C723" s="38"/>
      <c r="F723" s="38"/>
    </row>
    <row r="724" spans="3:6" x14ac:dyDescent="0.2">
      <c r="C724" s="38"/>
      <c r="F724" s="38"/>
    </row>
    <row r="725" spans="3:6" x14ac:dyDescent="0.2">
      <c r="C725" s="38"/>
      <c r="F725" s="38"/>
    </row>
    <row r="726" spans="3:6" x14ac:dyDescent="0.2">
      <c r="C726" s="38"/>
      <c r="F726" s="38"/>
    </row>
    <row r="727" spans="3:6" x14ac:dyDescent="0.2">
      <c r="C727" s="38"/>
      <c r="F727" s="38"/>
    </row>
    <row r="728" spans="3:6" x14ac:dyDescent="0.2">
      <c r="C728" s="38"/>
      <c r="F728" s="38"/>
    </row>
    <row r="729" spans="3:6" x14ac:dyDescent="0.2">
      <c r="C729" s="38"/>
      <c r="F729" s="38"/>
    </row>
    <row r="730" spans="3:6" x14ac:dyDescent="0.2">
      <c r="C730" s="38"/>
      <c r="F730" s="38"/>
    </row>
    <row r="731" spans="3:6" x14ac:dyDescent="0.2">
      <c r="C731" s="38"/>
      <c r="F731" s="38"/>
    </row>
    <row r="732" spans="3:6" x14ac:dyDescent="0.2">
      <c r="C732" s="38"/>
      <c r="F732" s="38"/>
    </row>
    <row r="733" spans="3:6" x14ac:dyDescent="0.2">
      <c r="C733" s="38"/>
      <c r="F733" s="38"/>
    </row>
    <row r="734" spans="3:6" x14ac:dyDescent="0.2">
      <c r="C734" s="38"/>
      <c r="F734" s="38"/>
    </row>
    <row r="735" spans="3:6" x14ac:dyDescent="0.2">
      <c r="C735" s="38"/>
      <c r="F735" s="38"/>
    </row>
    <row r="736" spans="3:6" x14ac:dyDescent="0.2">
      <c r="C736" s="38"/>
      <c r="F736" s="38"/>
    </row>
    <row r="737" spans="3:6" x14ac:dyDescent="0.2">
      <c r="C737" s="38"/>
      <c r="F737" s="38"/>
    </row>
    <row r="738" spans="3:6" x14ac:dyDescent="0.2">
      <c r="C738" s="38"/>
      <c r="F738" s="38"/>
    </row>
    <row r="739" spans="3:6" x14ac:dyDescent="0.2">
      <c r="C739" s="38"/>
      <c r="F739" s="38"/>
    </row>
    <row r="740" spans="3:6" x14ac:dyDescent="0.2">
      <c r="C740" s="38"/>
      <c r="F740" s="38"/>
    </row>
    <row r="741" spans="3:6" x14ac:dyDescent="0.2">
      <c r="C741" s="38"/>
      <c r="F741" s="38"/>
    </row>
    <row r="742" spans="3:6" x14ac:dyDescent="0.2">
      <c r="C742" s="38"/>
      <c r="F742" s="38"/>
    </row>
    <row r="743" spans="3:6" x14ac:dyDescent="0.2">
      <c r="C743" s="38"/>
      <c r="F743" s="38"/>
    </row>
    <row r="744" spans="3:6" x14ac:dyDescent="0.2">
      <c r="C744" s="38"/>
      <c r="F744" s="38"/>
    </row>
    <row r="745" spans="3:6" x14ac:dyDescent="0.2">
      <c r="C745" s="38"/>
      <c r="F745" s="38"/>
    </row>
    <row r="746" spans="3:6" x14ac:dyDescent="0.2">
      <c r="C746" s="38"/>
      <c r="F746" s="38"/>
    </row>
    <row r="747" spans="3:6" x14ac:dyDescent="0.2">
      <c r="C747" s="38"/>
      <c r="F747" s="38"/>
    </row>
    <row r="748" spans="3:6" x14ac:dyDescent="0.2">
      <c r="C748" s="38"/>
      <c r="F748" s="38"/>
    </row>
    <row r="749" spans="3:6" x14ac:dyDescent="0.2">
      <c r="C749" s="38"/>
      <c r="F749" s="38"/>
    </row>
    <row r="750" spans="3:6" x14ac:dyDescent="0.2">
      <c r="C750" s="38"/>
      <c r="F750" s="38"/>
    </row>
    <row r="751" spans="3:6" x14ac:dyDescent="0.2">
      <c r="C751" s="38"/>
      <c r="F751" s="38"/>
    </row>
    <row r="752" spans="3:6" x14ac:dyDescent="0.2">
      <c r="C752" s="38"/>
      <c r="F752" s="38"/>
    </row>
    <row r="753" spans="3:6" x14ac:dyDescent="0.2">
      <c r="C753" s="38"/>
      <c r="F753" s="38"/>
    </row>
    <row r="754" spans="3:6" x14ac:dyDescent="0.2">
      <c r="C754" s="38"/>
      <c r="F754" s="38"/>
    </row>
    <row r="755" spans="3:6" x14ac:dyDescent="0.2">
      <c r="C755" s="38"/>
      <c r="F755" s="38"/>
    </row>
    <row r="756" spans="3:6" x14ac:dyDescent="0.2">
      <c r="C756" s="38"/>
      <c r="F756" s="38"/>
    </row>
    <row r="757" spans="3:6" x14ac:dyDescent="0.2">
      <c r="C757" s="38"/>
      <c r="F757" s="38"/>
    </row>
    <row r="758" spans="3:6" x14ac:dyDescent="0.2">
      <c r="C758" s="38"/>
      <c r="F758" s="38"/>
    </row>
    <row r="759" spans="3:6" x14ac:dyDescent="0.2">
      <c r="C759" s="38"/>
      <c r="F759" s="38"/>
    </row>
    <row r="760" spans="3:6" x14ac:dyDescent="0.2">
      <c r="C760" s="38"/>
      <c r="F760" s="38"/>
    </row>
    <row r="761" spans="3:6" x14ac:dyDescent="0.2">
      <c r="C761" s="38"/>
      <c r="F761" s="38"/>
    </row>
    <row r="762" spans="3:6" x14ac:dyDescent="0.2">
      <c r="C762" s="38"/>
      <c r="F762" s="38"/>
    </row>
    <row r="763" spans="3:6" x14ac:dyDescent="0.2">
      <c r="C763" s="38"/>
      <c r="F763" s="38"/>
    </row>
    <row r="764" spans="3:6" x14ac:dyDescent="0.2">
      <c r="C764" s="38"/>
      <c r="F764" s="38"/>
    </row>
    <row r="765" spans="3:6" x14ac:dyDescent="0.2">
      <c r="C765" s="38"/>
      <c r="F765" s="38"/>
    </row>
    <row r="766" spans="3:6" x14ac:dyDescent="0.2">
      <c r="C766" s="38"/>
      <c r="F766" s="38"/>
    </row>
    <row r="767" spans="3:6" x14ac:dyDescent="0.2">
      <c r="C767" s="38"/>
      <c r="F767" s="38"/>
    </row>
    <row r="768" spans="3:6" x14ac:dyDescent="0.2">
      <c r="C768" s="38"/>
      <c r="F768" s="38"/>
    </row>
    <row r="769" spans="3:6" x14ac:dyDescent="0.2">
      <c r="C769" s="38"/>
      <c r="F769" s="38"/>
    </row>
    <row r="770" spans="3:6" x14ac:dyDescent="0.2">
      <c r="C770" s="38"/>
      <c r="F770" s="38"/>
    </row>
    <row r="771" spans="3:6" x14ac:dyDescent="0.2">
      <c r="C771" s="38"/>
      <c r="F771" s="38"/>
    </row>
    <row r="772" spans="3:6" x14ac:dyDescent="0.2">
      <c r="C772" s="38"/>
      <c r="F772" s="38"/>
    </row>
    <row r="773" spans="3:6" x14ac:dyDescent="0.2">
      <c r="C773" s="38"/>
      <c r="F773" s="38"/>
    </row>
    <row r="774" spans="3:6" x14ac:dyDescent="0.2">
      <c r="C774" s="38"/>
      <c r="F774" s="38"/>
    </row>
    <row r="775" spans="3:6" x14ac:dyDescent="0.2">
      <c r="C775" s="38"/>
      <c r="F775" s="38"/>
    </row>
    <row r="776" spans="3:6" x14ac:dyDescent="0.2">
      <c r="C776" s="38"/>
      <c r="F776" s="38"/>
    </row>
    <row r="777" spans="3:6" x14ac:dyDescent="0.2">
      <c r="C777" s="38"/>
      <c r="F777" s="38"/>
    </row>
    <row r="778" spans="3:6" x14ac:dyDescent="0.2">
      <c r="C778" s="38"/>
      <c r="F778" s="38"/>
    </row>
    <row r="779" spans="3:6" x14ac:dyDescent="0.2">
      <c r="C779" s="38"/>
      <c r="F779" s="38"/>
    </row>
    <row r="780" spans="3:6" x14ac:dyDescent="0.2">
      <c r="C780" s="38"/>
      <c r="F780" s="38"/>
    </row>
    <row r="781" spans="3:6" x14ac:dyDescent="0.2">
      <c r="C781" s="38"/>
      <c r="F781" s="38"/>
    </row>
    <row r="782" spans="3:6" x14ac:dyDescent="0.2">
      <c r="C782" s="38"/>
      <c r="F782" s="38"/>
    </row>
    <row r="783" spans="3:6" x14ac:dyDescent="0.2">
      <c r="C783" s="38"/>
      <c r="D783" s="38"/>
      <c r="F783" s="38"/>
    </row>
    <row r="784" spans="3:6" x14ac:dyDescent="0.2">
      <c r="C784" s="38"/>
      <c r="F784" s="38"/>
    </row>
    <row r="785" spans="3:6" x14ac:dyDescent="0.2">
      <c r="C785" s="38"/>
      <c r="F785" s="38"/>
    </row>
    <row r="786" spans="3:6" x14ac:dyDescent="0.2">
      <c r="C786" s="38"/>
      <c r="F786" s="38"/>
    </row>
    <row r="787" spans="3:6" x14ac:dyDescent="0.2">
      <c r="C787" s="38"/>
      <c r="F787" s="38"/>
    </row>
    <row r="788" spans="3:6" x14ac:dyDescent="0.2">
      <c r="C788" s="38"/>
      <c r="F788" s="38"/>
    </row>
    <row r="789" spans="3:6" x14ac:dyDescent="0.2">
      <c r="C789" s="38"/>
      <c r="F789" s="38"/>
    </row>
    <row r="790" spans="3:6" x14ac:dyDescent="0.2">
      <c r="C790" s="38"/>
      <c r="F790" s="38"/>
    </row>
    <row r="791" spans="3:6" x14ac:dyDescent="0.2">
      <c r="C791" s="38"/>
      <c r="F791" s="38"/>
    </row>
    <row r="792" spans="3:6" x14ac:dyDescent="0.2">
      <c r="C792" s="38"/>
      <c r="F792" s="38"/>
    </row>
    <row r="793" spans="3:6" x14ac:dyDescent="0.2">
      <c r="C793" s="38"/>
      <c r="F793" s="38"/>
    </row>
    <row r="794" spans="3:6" x14ac:dyDescent="0.2">
      <c r="C794" s="38"/>
      <c r="F794" s="38"/>
    </row>
    <row r="795" spans="3:6" x14ac:dyDescent="0.2">
      <c r="C795" s="38"/>
      <c r="F795" s="38"/>
    </row>
    <row r="796" spans="3:6" x14ac:dyDescent="0.2">
      <c r="C796" s="38"/>
      <c r="F796" s="38"/>
    </row>
    <row r="797" spans="3:6" x14ac:dyDescent="0.2">
      <c r="C797" s="38"/>
      <c r="D797" s="38"/>
      <c r="F797" s="38"/>
    </row>
    <row r="798" spans="3:6" x14ac:dyDescent="0.2">
      <c r="C798" s="38"/>
      <c r="D798" s="38"/>
      <c r="F798" s="38"/>
    </row>
    <row r="799" spans="3:6" x14ac:dyDescent="0.2">
      <c r="C799" s="38"/>
      <c r="D799" s="38"/>
      <c r="F799" s="38"/>
    </row>
    <row r="800" spans="3:6" x14ac:dyDescent="0.2">
      <c r="C800" s="38"/>
      <c r="D800" s="38"/>
      <c r="F800" s="38"/>
    </row>
    <row r="801" spans="3:6" x14ac:dyDescent="0.2">
      <c r="C801" s="38"/>
      <c r="D801" s="38"/>
      <c r="F801" s="38"/>
    </row>
    <row r="802" spans="3:6" x14ac:dyDescent="0.2">
      <c r="C802" s="38"/>
      <c r="D802" s="38"/>
      <c r="F802" s="38"/>
    </row>
    <row r="803" spans="3:6" x14ac:dyDescent="0.2">
      <c r="C803" s="38"/>
      <c r="D803" s="38"/>
      <c r="F803" s="38"/>
    </row>
    <row r="804" spans="3:6" x14ac:dyDescent="0.2">
      <c r="C804" s="38"/>
      <c r="D804" s="38"/>
      <c r="F804" s="38"/>
    </row>
    <row r="805" spans="3:6" x14ac:dyDescent="0.2">
      <c r="C805" s="38"/>
      <c r="D805" s="38"/>
      <c r="F805" s="38"/>
    </row>
    <row r="806" spans="3:6" x14ac:dyDescent="0.2">
      <c r="C806" s="38"/>
      <c r="D806" s="38"/>
      <c r="F806" s="38"/>
    </row>
    <row r="807" spans="3:6" x14ac:dyDescent="0.2">
      <c r="C807" s="38"/>
      <c r="D807" s="38"/>
      <c r="F807" s="38"/>
    </row>
    <row r="808" spans="3:6" x14ac:dyDescent="0.2">
      <c r="C808" s="38"/>
      <c r="D808" s="38"/>
      <c r="F808" s="38"/>
    </row>
    <row r="809" spans="3:6" x14ac:dyDescent="0.2">
      <c r="C809" s="38"/>
      <c r="D809" s="38"/>
      <c r="F809" s="38"/>
    </row>
    <row r="810" spans="3:6" x14ac:dyDescent="0.2">
      <c r="C810" s="38"/>
      <c r="D810" s="38"/>
      <c r="F810" s="38"/>
    </row>
    <row r="811" spans="3:6" x14ac:dyDescent="0.2">
      <c r="C811" s="38"/>
      <c r="D811" s="38"/>
      <c r="F811" s="38"/>
    </row>
    <row r="812" spans="3:6" x14ac:dyDescent="0.2">
      <c r="C812" s="38"/>
      <c r="D812" s="38"/>
      <c r="F812" s="38"/>
    </row>
    <row r="813" spans="3:6" x14ac:dyDescent="0.2">
      <c r="C813" s="38"/>
      <c r="D813" s="38"/>
      <c r="F813" s="38"/>
    </row>
    <row r="814" spans="3:6" x14ac:dyDescent="0.2">
      <c r="C814" s="38"/>
      <c r="D814" s="38"/>
      <c r="F814" s="38"/>
    </row>
    <row r="815" spans="3:6" x14ac:dyDescent="0.2">
      <c r="C815" s="38"/>
      <c r="D815" s="38"/>
      <c r="F815" s="38"/>
    </row>
    <row r="816" spans="3:6" x14ac:dyDescent="0.2">
      <c r="C816" s="38"/>
      <c r="D816" s="38"/>
      <c r="F816" s="38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F762-CC14-344A-A4E3-C24CF03BAA63}">
  <dimension ref="A1:L81"/>
  <sheetViews>
    <sheetView topLeftCell="A56" workbookViewId="0">
      <selection activeCell="A81" sqref="A81"/>
    </sheetView>
  </sheetViews>
  <sheetFormatPr baseColWidth="10" defaultRowHeight="16" x14ac:dyDescent="0.2"/>
  <cols>
    <col min="1" max="1" width="28.6640625" style="2" bestFit="1" customWidth="1"/>
    <col min="2" max="2" width="32.6640625" style="2" bestFit="1" customWidth="1"/>
    <col min="3" max="3" width="27.83203125" style="2" bestFit="1" customWidth="1"/>
    <col min="4" max="4" width="20.1640625" style="2" bestFit="1" customWidth="1"/>
    <col min="5" max="5" width="23.6640625" style="2" bestFit="1" customWidth="1"/>
    <col min="6" max="6" width="13.5" style="2" bestFit="1" customWidth="1"/>
    <col min="7" max="7" width="20.83203125" style="2" bestFit="1" customWidth="1"/>
    <col min="8" max="12" width="10.83203125" style="2"/>
    <col min="13" max="16384" width="10.83203125" style="9"/>
  </cols>
  <sheetData>
    <row r="1" spans="1:7" ht="17" thickBot="1" x14ac:dyDescent="0.25">
      <c r="A1" s="35" t="s">
        <v>213</v>
      </c>
      <c r="B1" s="6" t="s">
        <v>134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135</v>
      </c>
      <c r="C2" s="5">
        <v>0.13372398407926001</v>
      </c>
      <c r="D2" s="5">
        <v>0.26058326105089902</v>
      </c>
      <c r="E2" s="5">
        <v>4.2272186930565399E-2</v>
      </c>
      <c r="F2" s="5">
        <v>38</v>
      </c>
      <c r="G2" s="5">
        <v>42.105263157894697</v>
      </c>
    </row>
    <row r="3" spans="1:7" x14ac:dyDescent="0.2">
      <c r="A3" s="5" t="str">
        <f t="shared" ref="A3:A23" si="0">"- SOD"</f>
        <v>- SOD</v>
      </c>
      <c r="B3" s="5" t="s">
        <v>183</v>
      </c>
      <c r="C3" s="5">
        <v>0.11987951176806801</v>
      </c>
      <c r="D3" s="5">
        <v>0.26173696518241502</v>
      </c>
      <c r="E3" s="5">
        <v>4.2459342454344302E-2</v>
      </c>
      <c r="F3" s="5">
        <v>38</v>
      </c>
      <c r="G3" s="5">
        <v>26.315789473684202</v>
      </c>
    </row>
    <row r="4" spans="1:7" x14ac:dyDescent="0.2">
      <c r="A4" s="5" t="str">
        <f t="shared" si="0"/>
        <v>- SOD</v>
      </c>
      <c r="B4" s="5" t="s">
        <v>137</v>
      </c>
      <c r="C4" s="5">
        <v>0.11671383391739799</v>
      </c>
      <c r="D4" s="5">
        <v>0.21555718744447799</v>
      </c>
      <c r="E4" s="5">
        <v>3.4967993282193403E-2</v>
      </c>
      <c r="F4" s="5">
        <v>38</v>
      </c>
      <c r="G4" s="5">
        <v>36.842105263157897</v>
      </c>
    </row>
    <row r="5" spans="1:7" x14ac:dyDescent="0.2">
      <c r="A5" s="5" t="str">
        <f t="shared" si="0"/>
        <v>- SOD</v>
      </c>
      <c r="B5" s="5" t="s">
        <v>184</v>
      </c>
      <c r="C5" s="5">
        <v>6.6769815781308001E-2</v>
      </c>
      <c r="D5" s="5">
        <v>0.21744022256952</v>
      </c>
      <c r="E5" s="5">
        <v>3.52734619162169E-2</v>
      </c>
      <c r="F5" s="5">
        <v>38</v>
      </c>
      <c r="G5" s="5">
        <v>15.789473684210501</v>
      </c>
    </row>
    <row r="6" spans="1:7" x14ac:dyDescent="0.2">
      <c r="A6" s="5" t="str">
        <f t="shared" si="0"/>
        <v>- SOD</v>
      </c>
      <c r="B6" s="5" t="s">
        <v>139</v>
      </c>
      <c r="C6" s="5">
        <v>4.9612420628622103E-2</v>
      </c>
      <c r="D6" s="5">
        <v>0.18924932096154801</v>
      </c>
      <c r="E6" s="5">
        <v>3.0700293794414201E-2</v>
      </c>
      <c r="F6" s="5">
        <v>38</v>
      </c>
      <c r="G6" s="5">
        <v>10.526315789473699</v>
      </c>
    </row>
    <row r="7" spans="1:7" x14ac:dyDescent="0.2">
      <c r="A7" s="5" t="str">
        <f t="shared" si="0"/>
        <v>- SOD</v>
      </c>
      <c r="B7" s="5" t="s">
        <v>185</v>
      </c>
      <c r="C7" s="5">
        <v>4.93332648365436E-2</v>
      </c>
      <c r="D7" s="5">
        <v>0.131534935220192</v>
      </c>
      <c r="E7" s="5">
        <v>2.13377841197624E-2</v>
      </c>
      <c r="F7" s="5">
        <v>38</v>
      </c>
      <c r="G7" s="5">
        <v>18.421052631578899</v>
      </c>
    </row>
    <row r="8" spans="1:7" x14ac:dyDescent="0.2">
      <c r="A8" s="5" t="str">
        <f t="shared" si="0"/>
        <v>- SOD</v>
      </c>
      <c r="B8" s="5" t="s">
        <v>186</v>
      </c>
      <c r="C8" s="5">
        <v>4.9087821470395199E-2</v>
      </c>
      <c r="D8" s="5">
        <v>0.17423079965146401</v>
      </c>
      <c r="E8" s="5">
        <v>2.8263967924209599E-2</v>
      </c>
      <c r="F8" s="5">
        <v>38</v>
      </c>
      <c r="G8" s="5">
        <v>18.421052631578899</v>
      </c>
    </row>
    <row r="9" spans="1:7" x14ac:dyDescent="0.2">
      <c r="A9" s="5" t="str">
        <f t="shared" si="0"/>
        <v>- SOD</v>
      </c>
      <c r="B9" s="5" t="s">
        <v>187</v>
      </c>
      <c r="C9" s="5">
        <v>4.2564501689925802E-2</v>
      </c>
      <c r="D9" s="5">
        <v>0.134029917191301</v>
      </c>
      <c r="E9" s="5">
        <v>2.17425236408113E-2</v>
      </c>
      <c r="F9" s="5">
        <v>38</v>
      </c>
      <c r="G9" s="5">
        <v>13.157894736842101</v>
      </c>
    </row>
    <row r="10" spans="1:7" x14ac:dyDescent="0.2">
      <c r="A10" s="5" t="str">
        <f t="shared" si="0"/>
        <v>- SOD</v>
      </c>
      <c r="B10" s="5" t="s">
        <v>188</v>
      </c>
      <c r="C10" s="5">
        <v>4.1503814447605203E-2</v>
      </c>
      <c r="D10" s="5">
        <v>0.165652096283602</v>
      </c>
      <c r="E10" s="5">
        <v>2.6872318472415901E-2</v>
      </c>
      <c r="F10" s="5">
        <v>38</v>
      </c>
      <c r="G10" s="5">
        <v>7.8947368421052602</v>
      </c>
    </row>
    <row r="11" spans="1:7" x14ac:dyDescent="0.2">
      <c r="A11" s="5" t="str">
        <f t="shared" si="0"/>
        <v>- SOD</v>
      </c>
      <c r="B11" s="5" t="s">
        <v>178</v>
      </c>
      <c r="C11" s="41" t="s">
        <v>149</v>
      </c>
      <c r="D11" s="42" t="s">
        <v>149</v>
      </c>
      <c r="E11" s="42" t="s">
        <v>149</v>
      </c>
      <c r="F11" s="42" t="s">
        <v>149</v>
      </c>
      <c r="G11" s="42" t="s">
        <v>149</v>
      </c>
    </row>
    <row r="12" spans="1:7" x14ac:dyDescent="0.2">
      <c r="A12" s="5" t="str">
        <f t="shared" si="0"/>
        <v>- SOD</v>
      </c>
      <c r="B12" s="5" t="s">
        <v>189</v>
      </c>
      <c r="C12" s="5">
        <v>3.2652763270232497E-2</v>
      </c>
      <c r="D12" s="5">
        <v>7.7737574025359496E-2</v>
      </c>
      <c r="E12" s="5">
        <v>1.26106997336517E-2</v>
      </c>
      <c r="F12" s="5">
        <v>38</v>
      </c>
      <c r="G12" s="5">
        <v>50</v>
      </c>
    </row>
    <row r="13" spans="1:7" x14ac:dyDescent="0.2">
      <c r="A13" s="5" t="str">
        <f t="shared" si="0"/>
        <v>- SOD</v>
      </c>
      <c r="B13" s="5" t="s">
        <v>136</v>
      </c>
      <c r="C13" s="5">
        <v>2.9353679411900001E-2</v>
      </c>
      <c r="D13" s="5">
        <v>9.67756792030873E-2</v>
      </c>
      <c r="E13" s="5">
        <v>1.5699088211219601E-2</v>
      </c>
      <c r="F13" s="5">
        <v>38</v>
      </c>
      <c r="G13" s="5">
        <v>18.421052631578899</v>
      </c>
    </row>
    <row r="14" spans="1:7" x14ac:dyDescent="0.2">
      <c r="A14" s="5" t="str">
        <f t="shared" si="0"/>
        <v>- SOD</v>
      </c>
      <c r="B14" s="5" t="s">
        <v>190</v>
      </c>
      <c r="C14" s="5">
        <v>2.7841451828944E-2</v>
      </c>
      <c r="D14" s="5">
        <v>0.13769848396123999</v>
      </c>
      <c r="E14" s="5">
        <v>2.2337643755743802E-2</v>
      </c>
      <c r="F14" s="5">
        <v>38</v>
      </c>
      <c r="G14" s="5">
        <v>7.8947368421052602</v>
      </c>
    </row>
    <row r="15" spans="1:7" x14ac:dyDescent="0.2">
      <c r="A15" s="5" t="str">
        <f t="shared" si="0"/>
        <v>- SOD</v>
      </c>
      <c r="B15" s="5" t="s">
        <v>142</v>
      </c>
      <c r="C15" s="5">
        <v>2.52125711714286E-2</v>
      </c>
      <c r="D15" s="5">
        <v>0.12750495145632501</v>
      </c>
      <c r="E15" s="5">
        <v>2.0684034426454001E-2</v>
      </c>
      <c r="F15" s="5">
        <v>38</v>
      </c>
      <c r="G15" s="5">
        <v>7.8947368421052602</v>
      </c>
    </row>
    <row r="16" spans="1:7" x14ac:dyDescent="0.2">
      <c r="A16" s="5" t="str">
        <f t="shared" si="0"/>
        <v>- SOD</v>
      </c>
      <c r="B16" s="5" t="s">
        <v>191</v>
      </c>
      <c r="C16" s="5">
        <v>2.3963205464762698E-2</v>
      </c>
      <c r="D16" s="5">
        <v>9.4975238843120993E-2</v>
      </c>
      <c r="E16" s="5">
        <v>1.5407018217364701E-2</v>
      </c>
      <c r="F16" s="5">
        <v>38</v>
      </c>
      <c r="G16" s="5">
        <v>7.8947368421052602</v>
      </c>
    </row>
    <row r="17" spans="1:7" x14ac:dyDescent="0.2">
      <c r="A17" s="5" t="str">
        <f t="shared" si="0"/>
        <v>- SOD</v>
      </c>
      <c r="B17" s="5" t="s">
        <v>192</v>
      </c>
      <c r="C17" s="5">
        <v>2.1602048672522699E-2</v>
      </c>
      <c r="D17" s="5">
        <v>6.3385620637632006E-2</v>
      </c>
      <c r="E17" s="5">
        <v>1.02825054590921E-2</v>
      </c>
      <c r="F17" s="5">
        <v>38</v>
      </c>
      <c r="G17" s="5">
        <v>18.421052631578899</v>
      </c>
    </row>
    <row r="18" spans="1:7" x14ac:dyDescent="0.2">
      <c r="A18" s="5" t="str">
        <f t="shared" si="0"/>
        <v>- SOD</v>
      </c>
      <c r="B18" s="5" t="s">
        <v>143</v>
      </c>
      <c r="C18" s="5">
        <v>1.85909461501459E-2</v>
      </c>
      <c r="D18" s="5">
        <v>7.9371666320550094E-2</v>
      </c>
      <c r="E18" s="5">
        <v>1.28757845080363E-2</v>
      </c>
      <c r="F18" s="5">
        <v>38</v>
      </c>
      <c r="G18" s="5">
        <v>15.789473684210501</v>
      </c>
    </row>
    <row r="19" spans="1:7" x14ac:dyDescent="0.2">
      <c r="A19" s="5" t="str">
        <f t="shared" si="0"/>
        <v>- SOD</v>
      </c>
      <c r="B19" s="5" t="s">
        <v>193</v>
      </c>
      <c r="C19" s="5">
        <v>1.8490874122647102E-2</v>
      </c>
      <c r="D19" s="5">
        <v>6.3858748871056498E-2</v>
      </c>
      <c r="E19" s="5">
        <v>1.0359256993495301E-2</v>
      </c>
      <c r="F19" s="5">
        <v>38</v>
      </c>
      <c r="G19" s="5">
        <v>15.789473684210501</v>
      </c>
    </row>
    <row r="20" spans="1:7" x14ac:dyDescent="0.2">
      <c r="A20" s="5" t="str">
        <f t="shared" si="0"/>
        <v>- SOD</v>
      </c>
      <c r="B20" s="5" t="s">
        <v>194</v>
      </c>
      <c r="C20" s="5">
        <v>1.52995133890202E-2</v>
      </c>
      <c r="D20" s="5">
        <v>7.3616379076096403E-2</v>
      </c>
      <c r="E20" s="5">
        <v>1.19421536322253E-2</v>
      </c>
      <c r="F20" s="5">
        <v>38</v>
      </c>
      <c r="G20" s="5">
        <v>10.526315789473699</v>
      </c>
    </row>
    <row r="21" spans="1:7" x14ac:dyDescent="0.2">
      <c r="A21" s="5" t="str">
        <f t="shared" si="0"/>
        <v>- SOD</v>
      </c>
      <c r="B21" s="5" t="s">
        <v>195</v>
      </c>
      <c r="C21" s="5">
        <v>1.4355596580353E-2</v>
      </c>
      <c r="D21" s="5">
        <v>4.0275330215810798E-2</v>
      </c>
      <c r="E21" s="5">
        <v>6.5335213041195798E-3</v>
      </c>
      <c r="F21" s="5">
        <v>38</v>
      </c>
      <c r="G21" s="5">
        <v>15.789473684210501</v>
      </c>
    </row>
    <row r="22" spans="1:7" x14ac:dyDescent="0.2">
      <c r="A22" s="5" t="str">
        <f t="shared" si="0"/>
        <v>- SOD</v>
      </c>
      <c r="B22" s="5" t="s">
        <v>196</v>
      </c>
      <c r="C22" s="5">
        <v>1.2657592686438599E-2</v>
      </c>
      <c r="D22" s="5">
        <v>6.9506794838156097E-2</v>
      </c>
      <c r="E22" s="5">
        <v>1.127549103689E-2</v>
      </c>
      <c r="F22" s="5">
        <v>38</v>
      </c>
      <c r="G22" s="5">
        <v>7.8947368421052602</v>
      </c>
    </row>
    <row r="23" spans="1:7" x14ac:dyDescent="0.2">
      <c r="A23" s="5" t="str">
        <f t="shared" si="0"/>
        <v>- SOD</v>
      </c>
      <c r="B23" s="5" t="s">
        <v>141</v>
      </c>
      <c r="C23" s="5">
        <v>1.17960509794396E-2</v>
      </c>
      <c r="D23" s="5">
        <v>3.8322221878259899E-2</v>
      </c>
      <c r="E23" s="5">
        <v>6.2166852939797203E-3</v>
      </c>
      <c r="F23" s="5">
        <v>38</v>
      </c>
      <c r="G23" s="5">
        <v>13.157894736842101</v>
      </c>
    </row>
    <row r="24" spans="1:7" x14ac:dyDescent="0.2">
      <c r="A24" s="5" t="s">
        <v>65</v>
      </c>
      <c r="B24" s="5" t="s">
        <v>135</v>
      </c>
      <c r="C24" s="5">
        <v>0.23373694533387701</v>
      </c>
      <c r="D24" s="5">
        <v>0.35477895942075299</v>
      </c>
      <c r="E24" s="5">
        <v>7.9330987025144295E-2</v>
      </c>
      <c r="F24" s="5">
        <v>20</v>
      </c>
      <c r="G24" s="5">
        <v>45</v>
      </c>
    </row>
    <row r="25" spans="1:7" x14ac:dyDescent="0.2">
      <c r="A25" s="5" t="s">
        <v>65</v>
      </c>
      <c r="B25" s="5" t="s">
        <v>183</v>
      </c>
      <c r="C25" s="5">
        <v>7.7214259787840994E-2</v>
      </c>
      <c r="D25" s="5">
        <v>0.18388800057217899</v>
      </c>
      <c r="E25" s="5">
        <v>4.1118606952591299E-2</v>
      </c>
      <c r="F25" s="5">
        <v>20</v>
      </c>
      <c r="G25" s="5">
        <v>20</v>
      </c>
    </row>
    <row r="26" spans="1:7" x14ac:dyDescent="0.2">
      <c r="A26" s="5" t="s">
        <v>65</v>
      </c>
      <c r="B26" s="5" t="s">
        <v>138</v>
      </c>
      <c r="C26" s="5">
        <v>6.0424402576671497E-2</v>
      </c>
      <c r="D26" s="5">
        <v>0.178066052622949</v>
      </c>
      <c r="E26" s="5">
        <v>3.9816779814996803E-2</v>
      </c>
      <c r="F26" s="5">
        <v>20</v>
      </c>
      <c r="G26" s="5">
        <v>15</v>
      </c>
    </row>
    <row r="27" spans="1:7" x14ac:dyDescent="0.2">
      <c r="A27" s="5" t="s">
        <v>65</v>
      </c>
      <c r="B27" s="5" t="s">
        <v>186</v>
      </c>
      <c r="C27" s="5">
        <v>5.4707192707201001E-2</v>
      </c>
      <c r="D27" s="5">
        <v>0.15577034736779399</v>
      </c>
      <c r="E27" s="5">
        <v>3.4831308559314302E-2</v>
      </c>
      <c r="F27" s="5">
        <v>20</v>
      </c>
      <c r="G27" s="5">
        <v>30</v>
      </c>
    </row>
    <row r="28" spans="1:7" x14ac:dyDescent="0.2">
      <c r="A28" s="5" t="s">
        <v>65</v>
      </c>
      <c r="B28" s="5" t="s">
        <v>142</v>
      </c>
      <c r="C28" s="5">
        <v>5.3099700275277703E-2</v>
      </c>
      <c r="D28" s="5">
        <v>0.13441060710273001</v>
      </c>
      <c r="E28" s="5">
        <v>3.0055125437872001E-2</v>
      </c>
      <c r="F28" s="5">
        <v>20</v>
      </c>
      <c r="G28" s="5">
        <v>20</v>
      </c>
    </row>
    <row r="29" spans="1:7" x14ac:dyDescent="0.2">
      <c r="A29" s="5" t="s">
        <v>65</v>
      </c>
      <c r="B29" s="5" t="s">
        <v>184</v>
      </c>
      <c r="C29" s="5">
        <v>5.1059937881978698E-2</v>
      </c>
      <c r="D29" s="5">
        <v>0.12386423904695</v>
      </c>
      <c r="E29" s="5">
        <v>2.7696885849026399E-2</v>
      </c>
      <c r="F29" s="5">
        <v>20</v>
      </c>
      <c r="G29" s="5">
        <v>30</v>
      </c>
    </row>
    <row r="30" spans="1:7" x14ac:dyDescent="0.2">
      <c r="A30" s="5" t="s">
        <v>65</v>
      </c>
      <c r="B30" s="5" t="s">
        <v>178</v>
      </c>
      <c r="C30" s="41" t="s">
        <v>149</v>
      </c>
      <c r="D30" s="42" t="s">
        <v>149</v>
      </c>
      <c r="E30" s="42" t="s">
        <v>149</v>
      </c>
      <c r="F30" s="42" t="s">
        <v>149</v>
      </c>
      <c r="G30" s="42" t="s">
        <v>149</v>
      </c>
    </row>
    <row r="31" spans="1:7" x14ac:dyDescent="0.2">
      <c r="A31" s="5" t="s">
        <v>65</v>
      </c>
      <c r="B31" s="5" t="s">
        <v>141</v>
      </c>
      <c r="C31" s="5">
        <v>4.7357211324921197E-2</v>
      </c>
      <c r="D31" s="5">
        <v>0.10483277704603799</v>
      </c>
      <c r="E31" s="5">
        <v>2.34413215745022E-2</v>
      </c>
      <c r="F31" s="5">
        <v>20</v>
      </c>
      <c r="G31" s="5">
        <v>20</v>
      </c>
    </row>
    <row r="32" spans="1:7" x14ac:dyDescent="0.2">
      <c r="A32" s="5" t="s">
        <v>65</v>
      </c>
      <c r="B32" s="5" t="s">
        <v>188</v>
      </c>
      <c r="C32" s="5">
        <v>4.1924623881462598E-2</v>
      </c>
      <c r="D32" s="5">
        <v>0.133180438550176</v>
      </c>
      <c r="E32" s="5">
        <v>2.9780051387142799E-2</v>
      </c>
      <c r="F32" s="5">
        <v>20</v>
      </c>
      <c r="G32" s="5">
        <v>15</v>
      </c>
    </row>
    <row r="33" spans="1:7" x14ac:dyDescent="0.2">
      <c r="A33" s="5" t="s">
        <v>65</v>
      </c>
      <c r="B33" s="5" t="s">
        <v>196</v>
      </c>
      <c r="C33" s="5">
        <v>3.4854662753536401E-2</v>
      </c>
      <c r="D33" s="5">
        <v>0.104561892365931</v>
      </c>
      <c r="E33" s="5">
        <v>2.3380749918623898E-2</v>
      </c>
      <c r="F33" s="5">
        <v>20</v>
      </c>
      <c r="G33" s="5">
        <v>15</v>
      </c>
    </row>
    <row r="34" spans="1:7" x14ac:dyDescent="0.2">
      <c r="A34" s="5" t="s">
        <v>65</v>
      </c>
      <c r="B34" s="5" t="s">
        <v>137</v>
      </c>
      <c r="C34" s="5">
        <v>3.4024042266336603E-2</v>
      </c>
      <c r="D34" s="5">
        <v>9.9400596684055001E-2</v>
      </c>
      <c r="E34" s="5">
        <v>2.2226649118958702E-2</v>
      </c>
      <c r="F34" s="5">
        <v>20</v>
      </c>
      <c r="G34" s="5">
        <v>25</v>
      </c>
    </row>
    <row r="35" spans="1:7" x14ac:dyDescent="0.2">
      <c r="A35" s="5" t="s">
        <v>65</v>
      </c>
      <c r="B35" s="5" t="s">
        <v>194</v>
      </c>
      <c r="C35" s="5">
        <v>2.98023472627264E-2</v>
      </c>
      <c r="D35" s="5">
        <v>9.6297725645134197E-2</v>
      </c>
      <c r="E35" s="5">
        <v>2.1532826062114499E-2</v>
      </c>
      <c r="F35" s="5">
        <v>20</v>
      </c>
      <c r="G35" s="5">
        <v>25</v>
      </c>
    </row>
    <row r="36" spans="1:7" x14ac:dyDescent="0.2">
      <c r="A36" s="5" t="s">
        <v>65</v>
      </c>
      <c r="B36" s="5" t="s">
        <v>201</v>
      </c>
      <c r="C36" s="5">
        <v>2.8858382112545902E-2</v>
      </c>
      <c r="D36" s="5">
        <v>5.4499781354335503E-2</v>
      </c>
      <c r="E36" s="5">
        <v>1.2186521586717E-2</v>
      </c>
      <c r="F36" s="5">
        <v>20</v>
      </c>
      <c r="G36" s="5">
        <v>35</v>
      </c>
    </row>
    <row r="37" spans="1:7" x14ac:dyDescent="0.2">
      <c r="A37" s="5" t="s">
        <v>65</v>
      </c>
      <c r="B37" s="5" t="s">
        <v>144</v>
      </c>
      <c r="C37" s="5">
        <v>2.8842417425094601E-2</v>
      </c>
      <c r="D37" s="5">
        <v>0.12898721199587199</v>
      </c>
      <c r="E37" s="5">
        <v>2.8842417425094601E-2</v>
      </c>
      <c r="F37" s="5">
        <v>20</v>
      </c>
      <c r="G37" s="5">
        <v>5</v>
      </c>
    </row>
    <row r="38" spans="1:7" x14ac:dyDescent="0.2">
      <c r="A38" s="5" t="s">
        <v>65</v>
      </c>
      <c r="B38" s="5" t="s">
        <v>198</v>
      </c>
      <c r="C38" s="5">
        <v>2.7767966445242698E-2</v>
      </c>
      <c r="D38" s="5">
        <v>0.12418212113699199</v>
      </c>
      <c r="E38" s="5">
        <v>2.7767966445242698E-2</v>
      </c>
      <c r="F38" s="5">
        <v>20</v>
      </c>
      <c r="G38" s="5">
        <v>5</v>
      </c>
    </row>
    <row r="39" spans="1:7" x14ac:dyDescent="0.2">
      <c r="A39" s="5" t="s">
        <v>65</v>
      </c>
      <c r="B39" s="5" t="s">
        <v>140</v>
      </c>
      <c r="C39" s="5">
        <v>1.81477574825499E-2</v>
      </c>
      <c r="D39" s="5">
        <v>6.02016012113126E-2</v>
      </c>
      <c r="E39" s="5">
        <v>1.34614872662829E-2</v>
      </c>
      <c r="F39" s="5">
        <v>20</v>
      </c>
      <c r="G39" s="5">
        <v>10</v>
      </c>
    </row>
    <row r="40" spans="1:7" x14ac:dyDescent="0.2">
      <c r="A40" s="5" t="s">
        <v>65</v>
      </c>
      <c r="B40" s="5" t="s">
        <v>191</v>
      </c>
      <c r="C40" s="5">
        <v>1.79709824440458E-2</v>
      </c>
      <c r="D40" s="5">
        <v>8.0298505848872895E-2</v>
      </c>
      <c r="E40" s="5">
        <v>1.7955291756974402E-2</v>
      </c>
      <c r="F40" s="5">
        <v>20</v>
      </c>
      <c r="G40" s="5">
        <v>10</v>
      </c>
    </row>
    <row r="41" spans="1:7" x14ac:dyDescent="0.2">
      <c r="A41" s="5" t="s">
        <v>65</v>
      </c>
      <c r="B41" s="5" t="s">
        <v>185</v>
      </c>
      <c r="C41" s="5">
        <v>1.53186758012392E-2</v>
      </c>
      <c r="D41" s="5">
        <v>4.1365025097037399E-2</v>
      </c>
      <c r="E41" s="5">
        <v>9.2495008007960396E-3</v>
      </c>
      <c r="F41" s="5">
        <v>20</v>
      </c>
      <c r="G41" s="5">
        <v>20</v>
      </c>
    </row>
    <row r="42" spans="1:7" x14ac:dyDescent="0.2">
      <c r="A42" s="5" t="s">
        <v>65</v>
      </c>
      <c r="B42" s="5" t="s">
        <v>145</v>
      </c>
      <c r="C42" s="5">
        <v>1.49874397447213E-2</v>
      </c>
      <c r="D42" s="5">
        <v>6.7025868155757798E-2</v>
      </c>
      <c r="E42" s="5">
        <v>1.49874397447213E-2</v>
      </c>
      <c r="F42" s="5">
        <v>20</v>
      </c>
      <c r="G42" s="5">
        <v>5</v>
      </c>
    </row>
    <row r="43" spans="1:7" x14ac:dyDescent="0.2">
      <c r="A43" s="5" t="s">
        <v>65</v>
      </c>
      <c r="B43" s="5" t="s">
        <v>189</v>
      </c>
      <c r="C43" s="5">
        <v>1.4778339100077999E-2</v>
      </c>
      <c r="D43" s="5">
        <v>4.1699897046250302E-2</v>
      </c>
      <c r="E43" s="5">
        <v>9.3243804450158299E-3</v>
      </c>
      <c r="F43" s="5">
        <v>20</v>
      </c>
      <c r="G43" s="5">
        <v>35</v>
      </c>
    </row>
    <row r="44" spans="1:7" x14ac:dyDescent="0.2">
      <c r="A44" s="5" t="s">
        <v>65</v>
      </c>
      <c r="B44" s="5" t="s">
        <v>204</v>
      </c>
      <c r="C44" s="5">
        <v>1.41698414649134E-2</v>
      </c>
      <c r="D44" s="5">
        <v>6.33694574918829E-2</v>
      </c>
      <c r="E44" s="5">
        <v>1.41698414649134E-2</v>
      </c>
      <c r="F44" s="5">
        <v>20</v>
      </c>
      <c r="G44" s="5">
        <v>5</v>
      </c>
    </row>
    <row r="45" spans="1:7" x14ac:dyDescent="0.2">
      <c r="A45" s="5" t="s">
        <v>65</v>
      </c>
      <c r="B45" s="5" t="s">
        <v>199</v>
      </c>
      <c r="C45" s="5">
        <v>1.2110145788281901E-2</v>
      </c>
      <c r="D45" s="5">
        <v>2.9176691201491599E-2</v>
      </c>
      <c r="E45" s="5">
        <v>6.5241064885055303E-3</v>
      </c>
      <c r="F45" s="5">
        <v>20</v>
      </c>
      <c r="G45" s="5">
        <v>25</v>
      </c>
    </row>
    <row r="46" spans="1:7" x14ac:dyDescent="0.2">
      <c r="A46" s="5" t="s">
        <v>65</v>
      </c>
      <c r="B46" s="5" t="s">
        <v>205</v>
      </c>
      <c r="C46" s="5">
        <v>1.0167090091850701E-2</v>
      </c>
      <c r="D46" s="5">
        <v>4.5468609157485497E-2</v>
      </c>
      <c r="E46" s="5">
        <v>1.0167090091850701E-2</v>
      </c>
      <c r="F46" s="5">
        <v>20</v>
      </c>
      <c r="G46" s="5">
        <v>5</v>
      </c>
    </row>
    <row r="47" spans="1:7" x14ac:dyDescent="0.2">
      <c r="A47" s="5" t="s">
        <v>66</v>
      </c>
      <c r="B47" s="5" t="s">
        <v>197</v>
      </c>
      <c r="C47" s="5">
        <v>0.30119940963306702</v>
      </c>
      <c r="D47" s="5">
        <v>0.46521904576792</v>
      </c>
      <c r="E47" s="5">
        <v>0.26859434130624998</v>
      </c>
      <c r="F47" s="5">
        <v>3</v>
      </c>
      <c r="G47" s="5">
        <v>66.6666666666667</v>
      </c>
    </row>
    <row r="48" spans="1:7" x14ac:dyDescent="0.2">
      <c r="A48" s="5" t="s">
        <v>66</v>
      </c>
      <c r="B48" s="5" t="s">
        <v>200</v>
      </c>
      <c r="C48" s="5">
        <v>0.24649847632442601</v>
      </c>
      <c r="D48" s="5">
        <v>0.42694788498221897</v>
      </c>
      <c r="E48" s="5">
        <v>0.24649847632442601</v>
      </c>
      <c r="F48" s="5">
        <v>3</v>
      </c>
      <c r="G48" s="5">
        <v>33.3333333333333</v>
      </c>
    </row>
    <row r="49" spans="1:7" x14ac:dyDescent="0.2">
      <c r="A49" s="5" t="s">
        <v>66</v>
      </c>
      <c r="B49" s="5" t="s">
        <v>137</v>
      </c>
      <c r="C49" s="5">
        <v>0.18694568141375401</v>
      </c>
      <c r="D49" s="5">
        <v>0.25822855725907101</v>
      </c>
      <c r="E49" s="5">
        <v>0.149088327045973</v>
      </c>
      <c r="F49" s="5">
        <v>3</v>
      </c>
      <c r="G49" s="5">
        <v>66.6666666666667</v>
      </c>
    </row>
    <row r="50" spans="1:7" x14ac:dyDescent="0.2">
      <c r="A50" s="5" t="s">
        <v>66</v>
      </c>
      <c r="B50" s="5" t="s">
        <v>186</v>
      </c>
      <c r="C50" s="5">
        <v>8.6760556568535596E-2</v>
      </c>
      <c r="D50" s="5">
        <v>0.14060479817496299</v>
      </c>
      <c r="E50" s="5">
        <v>8.1178218075668093E-2</v>
      </c>
      <c r="F50" s="5">
        <v>3</v>
      </c>
      <c r="G50" s="5">
        <v>66.6666666666667</v>
      </c>
    </row>
    <row r="51" spans="1:7" x14ac:dyDescent="0.2">
      <c r="A51" s="5" t="s">
        <v>66</v>
      </c>
      <c r="B51" s="5" t="s">
        <v>147</v>
      </c>
      <c r="C51" s="5">
        <v>6.9838468995862504E-2</v>
      </c>
      <c r="D51" s="5">
        <v>0.114143574081302</v>
      </c>
      <c r="E51" s="5">
        <v>6.59008232221059E-2</v>
      </c>
      <c r="F51" s="5">
        <v>3</v>
      </c>
      <c r="G51" s="5">
        <v>66.6666666666667</v>
      </c>
    </row>
    <row r="52" spans="1:7" x14ac:dyDescent="0.2">
      <c r="A52" s="5" t="s">
        <v>66</v>
      </c>
      <c r="B52" s="5" t="s">
        <v>194</v>
      </c>
      <c r="C52" s="5">
        <v>5.4329774614472102E-2</v>
      </c>
      <c r="D52" s="5">
        <v>9.4101929996031494E-2</v>
      </c>
      <c r="E52" s="5">
        <v>5.4329774614472102E-2</v>
      </c>
      <c r="F52" s="5">
        <v>3</v>
      </c>
      <c r="G52" s="5">
        <v>33.3333333333333</v>
      </c>
    </row>
    <row r="53" spans="1:7" x14ac:dyDescent="0.2">
      <c r="A53" s="5" t="s">
        <v>66</v>
      </c>
      <c r="B53" s="5" t="s">
        <v>140</v>
      </c>
      <c r="C53" s="5">
        <v>3.1162095639943699E-2</v>
      </c>
      <c r="D53" s="5">
        <v>5.39743329187031E-2</v>
      </c>
      <c r="E53" s="5">
        <v>3.1162095639943699E-2</v>
      </c>
      <c r="F53" s="5">
        <v>3</v>
      </c>
      <c r="G53" s="5">
        <v>33.3333333333333</v>
      </c>
    </row>
    <row r="54" spans="1:7" x14ac:dyDescent="0.2">
      <c r="A54" s="5" t="s">
        <v>66</v>
      </c>
      <c r="B54" s="5" t="s">
        <v>192</v>
      </c>
      <c r="C54" s="5">
        <v>1.9916796671866899E-2</v>
      </c>
      <c r="D54" s="5">
        <v>3.4496903759692103E-2</v>
      </c>
      <c r="E54" s="5">
        <v>1.9916796671866899E-2</v>
      </c>
      <c r="F54" s="5">
        <v>3</v>
      </c>
      <c r="G54" s="5">
        <v>33.3333333333333</v>
      </c>
    </row>
    <row r="55" spans="1:7" x14ac:dyDescent="0.2">
      <c r="A55" s="5" t="s">
        <v>66</v>
      </c>
      <c r="B55" s="5" t="s">
        <v>178</v>
      </c>
      <c r="C55" s="41" t="s">
        <v>149</v>
      </c>
      <c r="D55" s="42" t="s">
        <v>149</v>
      </c>
      <c r="E55" s="42" t="s">
        <v>149</v>
      </c>
      <c r="F55" s="42" t="s">
        <v>149</v>
      </c>
      <c r="G55" s="42" t="s">
        <v>149</v>
      </c>
    </row>
    <row r="56" spans="1:7" x14ac:dyDescent="0.2">
      <c r="A56" s="5" t="s">
        <v>67</v>
      </c>
      <c r="B56" s="5" t="s">
        <v>186</v>
      </c>
      <c r="C56" s="5">
        <v>0.32688551720006198</v>
      </c>
      <c r="D56" s="5">
        <v>0.44062116835231202</v>
      </c>
      <c r="E56" s="5">
        <v>0.166539147692992</v>
      </c>
      <c r="F56" s="5">
        <v>7</v>
      </c>
      <c r="G56" s="5">
        <v>71.428571428571402</v>
      </c>
    </row>
    <row r="57" spans="1:7" x14ac:dyDescent="0.2">
      <c r="A57" s="5" t="s">
        <v>67</v>
      </c>
      <c r="B57" s="5" t="s">
        <v>135</v>
      </c>
      <c r="C57" s="5">
        <v>0.30581588197413401</v>
      </c>
      <c r="D57" s="5">
        <v>0.425381686454821</v>
      </c>
      <c r="E57" s="5">
        <v>0.160779164948673</v>
      </c>
      <c r="F57" s="5">
        <v>7</v>
      </c>
      <c r="G57" s="5">
        <v>42.857142857142897</v>
      </c>
    </row>
    <row r="58" spans="1:7" x14ac:dyDescent="0.2">
      <c r="A58" s="5" t="s">
        <v>67</v>
      </c>
      <c r="B58" s="5" t="s">
        <v>140</v>
      </c>
      <c r="C58" s="5">
        <v>9.5590747260030001E-2</v>
      </c>
      <c r="D58" s="5">
        <v>0.22338853657700999</v>
      </c>
      <c r="E58" s="5">
        <v>8.4432930503632306E-2</v>
      </c>
      <c r="F58" s="5">
        <v>7</v>
      </c>
      <c r="G58" s="5">
        <v>28.571428571428601</v>
      </c>
    </row>
    <row r="59" spans="1:7" x14ac:dyDescent="0.2">
      <c r="A59" s="5" t="s">
        <v>67</v>
      </c>
      <c r="B59" s="5" t="s">
        <v>199</v>
      </c>
      <c r="C59" s="5">
        <v>8.67196396328382E-2</v>
      </c>
      <c r="D59" s="5">
        <v>0.22943860025363</v>
      </c>
      <c r="E59" s="5">
        <v>8.67196396328382E-2</v>
      </c>
      <c r="F59" s="5">
        <v>7</v>
      </c>
      <c r="G59" s="5">
        <v>14.285714285714301</v>
      </c>
    </row>
    <row r="60" spans="1:7" x14ac:dyDescent="0.2">
      <c r="A60" s="5" t="s">
        <v>67</v>
      </c>
      <c r="B60" s="5" t="s">
        <v>136</v>
      </c>
      <c r="C60" s="5">
        <v>7.7102359060120002E-2</v>
      </c>
      <c r="D60" s="5">
        <v>0.203993667569485</v>
      </c>
      <c r="E60" s="5">
        <v>7.7102359060120002E-2</v>
      </c>
      <c r="F60" s="5">
        <v>7</v>
      </c>
      <c r="G60" s="5">
        <v>14.285714285714301</v>
      </c>
    </row>
    <row r="61" spans="1:7" x14ac:dyDescent="0.2">
      <c r="A61" s="5" t="s">
        <v>67</v>
      </c>
      <c r="B61" s="5" t="s">
        <v>141</v>
      </c>
      <c r="C61" s="5">
        <v>5.7340903229370799E-2</v>
      </c>
      <c r="D61" s="5">
        <v>0.147503735195048</v>
      </c>
      <c r="E61" s="5">
        <v>5.5751171539888802E-2</v>
      </c>
      <c r="F61" s="5">
        <v>7</v>
      </c>
      <c r="G61" s="5">
        <v>28.571428571428601</v>
      </c>
    </row>
    <row r="62" spans="1:7" x14ac:dyDescent="0.2">
      <c r="A62" s="5" t="s">
        <v>67</v>
      </c>
      <c r="B62" s="5" t="s">
        <v>178</v>
      </c>
      <c r="C62" s="41" t="s">
        <v>149</v>
      </c>
      <c r="D62" s="42" t="s">
        <v>149</v>
      </c>
      <c r="E62" s="42" t="s">
        <v>149</v>
      </c>
      <c r="F62" s="42" t="s">
        <v>149</v>
      </c>
      <c r="G62" s="42" t="s">
        <v>149</v>
      </c>
    </row>
    <row r="63" spans="1:7" x14ac:dyDescent="0.2">
      <c r="A63" s="5" t="s">
        <v>67</v>
      </c>
      <c r="B63" s="5" t="s">
        <v>197</v>
      </c>
      <c r="C63" s="5">
        <v>1.6214630779848201E-2</v>
      </c>
      <c r="D63" s="5">
        <v>4.2899880644211602E-2</v>
      </c>
      <c r="E63" s="5">
        <v>1.6214630779848201E-2</v>
      </c>
      <c r="F63" s="5">
        <v>7</v>
      </c>
      <c r="G63" s="5">
        <v>14.285714285714301</v>
      </c>
    </row>
    <row r="64" spans="1:7" x14ac:dyDescent="0.2">
      <c r="A64" s="5" t="s">
        <v>68</v>
      </c>
      <c r="B64" s="5" t="s">
        <v>186</v>
      </c>
      <c r="C64" s="5">
        <v>0.23125965427005199</v>
      </c>
      <c r="D64" s="5">
        <v>0.35843266812604302</v>
      </c>
      <c r="E64" s="5">
        <v>0.14632952400885799</v>
      </c>
      <c r="F64" s="5">
        <v>6</v>
      </c>
      <c r="G64" s="5">
        <v>66.6666666666667</v>
      </c>
    </row>
    <row r="65" spans="1:7" x14ac:dyDescent="0.2">
      <c r="A65" s="5" t="s">
        <v>68</v>
      </c>
      <c r="B65" s="5" t="s">
        <v>137</v>
      </c>
      <c r="C65" s="5">
        <v>0.179329046479802</v>
      </c>
      <c r="D65" s="5">
        <v>0.40125867992897202</v>
      </c>
      <c r="E65" s="5">
        <v>0.16381317011478899</v>
      </c>
      <c r="F65" s="5">
        <v>6</v>
      </c>
      <c r="G65" s="5">
        <v>66.6666666666667</v>
      </c>
    </row>
    <row r="66" spans="1:7" x14ac:dyDescent="0.2">
      <c r="A66" s="5" t="s">
        <v>68</v>
      </c>
      <c r="B66" s="5" t="s">
        <v>135</v>
      </c>
      <c r="C66" s="5">
        <v>0.129704634473636</v>
      </c>
      <c r="D66" s="5">
        <v>0.28234943857397299</v>
      </c>
      <c r="E66" s="5">
        <v>0.11526867561125601</v>
      </c>
      <c r="F66" s="5">
        <v>6</v>
      </c>
      <c r="G66" s="5">
        <v>33.3333333333333</v>
      </c>
    </row>
    <row r="67" spans="1:7" x14ac:dyDescent="0.2">
      <c r="A67" s="5" t="s">
        <v>68</v>
      </c>
      <c r="B67" s="5" t="s">
        <v>202</v>
      </c>
      <c r="C67" s="5">
        <v>9.8674727458471501E-2</v>
      </c>
      <c r="D67" s="5">
        <v>0.24170273278145199</v>
      </c>
      <c r="E67" s="5">
        <v>9.8674727458471598E-2</v>
      </c>
      <c r="F67" s="5">
        <v>6</v>
      </c>
      <c r="G67" s="5">
        <v>16.6666666666667</v>
      </c>
    </row>
    <row r="68" spans="1:7" x14ac:dyDescent="0.2">
      <c r="A68" s="5" t="s">
        <v>68</v>
      </c>
      <c r="B68" s="5" t="s">
        <v>198</v>
      </c>
      <c r="C68" s="5">
        <v>6.6438706759040997E-2</v>
      </c>
      <c r="D68" s="5">
        <v>0.16274093073005</v>
      </c>
      <c r="E68" s="5">
        <v>6.6438706759040997E-2</v>
      </c>
      <c r="F68" s="5">
        <v>6</v>
      </c>
      <c r="G68" s="5">
        <v>16.6666666666667</v>
      </c>
    </row>
    <row r="69" spans="1:7" x14ac:dyDescent="0.2">
      <c r="A69" s="5" t="s">
        <v>68</v>
      </c>
      <c r="B69" s="5" t="s">
        <v>183</v>
      </c>
      <c r="C69" s="5">
        <v>4.6040546953152399E-2</v>
      </c>
      <c r="D69" s="5">
        <v>8.3513926603810906E-2</v>
      </c>
      <c r="E69" s="5">
        <v>3.40944177659303E-2</v>
      </c>
      <c r="F69" s="5">
        <v>6</v>
      </c>
      <c r="G69" s="5">
        <v>33.3333333333333</v>
      </c>
    </row>
    <row r="70" spans="1:7" x14ac:dyDescent="0.2">
      <c r="A70" s="5" t="s">
        <v>68</v>
      </c>
      <c r="B70" s="5" t="s">
        <v>206</v>
      </c>
      <c r="C70" s="5">
        <v>3.4011133118908701E-2</v>
      </c>
      <c r="D70" s="5">
        <v>8.33099217152002E-2</v>
      </c>
      <c r="E70" s="5">
        <v>3.4011133118908701E-2</v>
      </c>
      <c r="F70" s="5">
        <v>6</v>
      </c>
      <c r="G70" s="5">
        <v>16.6666666666667</v>
      </c>
    </row>
    <row r="71" spans="1:7" x14ac:dyDescent="0.2">
      <c r="A71" s="5" t="s">
        <v>68</v>
      </c>
      <c r="B71" s="5" t="s">
        <v>184</v>
      </c>
      <c r="C71" s="5">
        <v>3.0703906283125301E-2</v>
      </c>
      <c r="D71" s="5">
        <v>7.5208903503891297E-2</v>
      </c>
      <c r="E71" s="5">
        <v>3.0703906283125301E-2</v>
      </c>
      <c r="F71" s="5">
        <v>6</v>
      </c>
      <c r="G71" s="5">
        <v>16.6666666666667</v>
      </c>
    </row>
    <row r="72" spans="1:7" x14ac:dyDescent="0.2">
      <c r="A72" s="5" t="s">
        <v>68</v>
      </c>
      <c r="B72" s="5" t="s">
        <v>195</v>
      </c>
      <c r="C72" s="5">
        <v>2.8143094356394501E-2</v>
      </c>
      <c r="D72" s="5">
        <v>6.7167525524312294E-2</v>
      </c>
      <c r="E72" s="5">
        <v>2.7421027469988399E-2</v>
      </c>
      <c r="F72" s="5">
        <v>6</v>
      </c>
      <c r="G72" s="5">
        <v>33.3333333333333</v>
      </c>
    </row>
    <row r="73" spans="1:7" x14ac:dyDescent="0.2">
      <c r="A73" s="5" t="s">
        <v>68</v>
      </c>
      <c r="B73" s="5" t="s">
        <v>207</v>
      </c>
      <c r="C73" s="5">
        <v>2.6938552008189901E-2</v>
      </c>
      <c r="D73" s="5">
        <v>6.5985706829492299E-2</v>
      </c>
      <c r="E73" s="5">
        <v>2.6938552008189901E-2</v>
      </c>
      <c r="F73" s="5">
        <v>6</v>
      </c>
      <c r="G73" s="5">
        <v>16.6666666666667</v>
      </c>
    </row>
    <row r="74" spans="1:7" x14ac:dyDescent="0.2">
      <c r="A74" s="5" t="s">
        <v>68</v>
      </c>
      <c r="B74" s="5" t="s">
        <v>201</v>
      </c>
      <c r="C74" s="5">
        <v>2.5249404880885298E-2</v>
      </c>
      <c r="D74" s="5">
        <v>6.18481582671081E-2</v>
      </c>
      <c r="E74" s="5">
        <v>2.5249404880885298E-2</v>
      </c>
      <c r="F74" s="5">
        <v>6</v>
      </c>
      <c r="G74" s="5">
        <v>16.6666666666667</v>
      </c>
    </row>
    <row r="75" spans="1:7" x14ac:dyDescent="0.2">
      <c r="A75" s="5" t="s">
        <v>68</v>
      </c>
      <c r="B75" s="5" t="s">
        <v>178</v>
      </c>
      <c r="C75" s="41" t="s">
        <v>149</v>
      </c>
      <c r="D75" s="42" t="s">
        <v>149</v>
      </c>
      <c r="E75" s="42" t="s">
        <v>149</v>
      </c>
      <c r="F75" s="42" t="s">
        <v>149</v>
      </c>
      <c r="G75" s="42" t="s">
        <v>149</v>
      </c>
    </row>
    <row r="76" spans="1:7" x14ac:dyDescent="0.2">
      <c r="A76" s="5" t="s">
        <v>68</v>
      </c>
      <c r="B76" s="5" t="s">
        <v>146</v>
      </c>
      <c r="C76" s="5">
        <v>2.2055222021635401E-2</v>
      </c>
      <c r="D76" s="5">
        <v>5.4024040116801599E-2</v>
      </c>
      <c r="E76" s="5">
        <v>2.2055222021635401E-2</v>
      </c>
      <c r="F76" s="5">
        <v>6</v>
      </c>
      <c r="G76" s="5">
        <v>16.6666666666667</v>
      </c>
    </row>
    <row r="77" spans="1:7" x14ac:dyDescent="0.2">
      <c r="A77" s="5" t="s">
        <v>68</v>
      </c>
      <c r="B77" s="5" t="s">
        <v>208</v>
      </c>
      <c r="C77" s="5">
        <v>1.4538462602537E-2</v>
      </c>
      <c r="D77" s="5">
        <v>3.56118150207511E-2</v>
      </c>
      <c r="E77" s="5">
        <v>1.4538462602537E-2</v>
      </c>
      <c r="F77" s="5">
        <v>6</v>
      </c>
      <c r="G77" s="5">
        <v>16.6666666666667</v>
      </c>
    </row>
    <row r="78" spans="1:7" x14ac:dyDescent="0.2">
      <c r="A78" s="5" t="s">
        <v>68</v>
      </c>
      <c r="B78" s="5" t="s">
        <v>145</v>
      </c>
      <c r="C78" s="5">
        <v>1.2775873151917701E-2</v>
      </c>
      <c r="D78" s="5">
        <v>3.1294370240721403E-2</v>
      </c>
      <c r="E78" s="5">
        <v>1.2775873151917701E-2</v>
      </c>
      <c r="F78" s="5">
        <v>6</v>
      </c>
      <c r="G78" s="5">
        <v>16.6666666666667</v>
      </c>
    </row>
    <row r="79" spans="1:7" x14ac:dyDescent="0.2">
      <c r="A79" s="5" t="s">
        <v>68</v>
      </c>
      <c r="B79" s="5" t="s">
        <v>138</v>
      </c>
      <c r="C79" s="5">
        <v>1.2433635692688599E-2</v>
      </c>
      <c r="D79" s="5">
        <v>3.04560630947436E-2</v>
      </c>
      <c r="E79" s="5">
        <v>1.2433635692688599E-2</v>
      </c>
      <c r="F79" s="5">
        <v>6</v>
      </c>
      <c r="G79" s="5">
        <v>16.6666666666667</v>
      </c>
    </row>
    <row r="81" spans="1:1" ht="18" x14ac:dyDescent="0.2">
      <c r="A81" s="1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BE64-AC49-904E-B539-9034E85165CB}">
  <dimension ref="A1:G30"/>
  <sheetViews>
    <sheetView workbookViewId="0">
      <selection activeCell="A30" sqref="A30"/>
    </sheetView>
  </sheetViews>
  <sheetFormatPr baseColWidth="10" defaultRowHeight="16" x14ac:dyDescent="0.2"/>
  <cols>
    <col min="1" max="1" width="19" customWidth="1"/>
    <col min="2" max="2" width="18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</cols>
  <sheetData>
    <row r="1" spans="1:7" ht="17" thickBot="1" x14ac:dyDescent="0.25">
      <c r="A1" s="35" t="s">
        <v>150</v>
      </c>
      <c r="B1" s="6" t="s">
        <v>7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8</v>
      </c>
      <c r="C2" s="5">
        <v>0.49086694194494701</v>
      </c>
      <c r="D2" s="5">
        <v>7.5667245410548797E-2</v>
      </c>
      <c r="E2" s="5">
        <v>1.12798069605431E-2</v>
      </c>
      <c r="F2" s="5">
        <v>45</v>
      </c>
      <c r="G2" s="5">
        <v>100</v>
      </c>
    </row>
    <row r="3" spans="1:7" x14ac:dyDescent="0.2">
      <c r="A3" s="5" t="str">
        <f t="shared" ref="A3:A10" si="0">"- SOD"</f>
        <v>- SOD</v>
      </c>
      <c r="B3" s="5" t="s">
        <v>9</v>
      </c>
      <c r="C3" s="5">
        <v>0.17570883521507999</v>
      </c>
      <c r="D3" s="5">
        <v>8.3073658332789305E-2</v>
      </c>
      <c r="E3" s="5">
        <v>1.23838898114473E-2</v>
      </c>
      <c r="F3" s="5">
        <v>45</v>
      </c>
      <c r="G3" s="5">
        <v>100</v>
      </c>
    </row>
    <row r="4" spans="1:7" x14ac:dyDescent="0.2">
      <c r="A4" s="5" t="str">
        <f t="shared" si="0"/>
        <v>- SOD</v>
      </c>
      <c r="B4" s="5" t="s">
        <v>10</v>
      </c>
      <c r="C4" s="5">
        <v>8.5278193577677006E-2</v>
      </c>
      <c r="D4" s="5">
        <v>4.3478888259101199E-2</v>
      </c>
      <c r="E4" s="5">
        <v>6.4814499822311899E-3</v>
      </c>
      <c r="F4" s="5">
        <v>45</v>
      </c>
      <c r="G4" s="5">
        <v>100</v>
      </c>
    </row>
    <row r="5" spans="1:7" x14ac:dyDescent="0.2">
      <c r="A5" s="5" t="str">
        <f t="shared" si="0"/>
        <v>- SOD</v>
      </c>
      <c r="B5" s="5" t="s">
        <v>11</v>
      </c>
      <c r="C5" s="5">
        <v>8.0787125530453599E-2</v>
      </c>
      <c r="D5" s="5">
        <v>4.82048599241853E-2</v>
      </c>
      <c r="E5" s="5">
        <v>7.1859562424222397E-3</v>
      </c>
      <c r="F5" s="5">
        <v>45</v>
      </c>
      <c r="G5" s="5">
        <v>100</v>
      </c>
    </row>
    <row r="6" spans="1:7" x14ac:dyDescent="0.2">
      <c r="A6" s="5" t="str">
        <f t="shared" si="0"/>
        <v>- SOD</v>
      </c>
      <c r="B6" s="5" t="s">
        <v>12</v>
      </c>
      <c r="C6" s="5">
        <v>5.3417172104277801E-2</v>
      </c>
      <c r="D6" s="5">
        <v>1.5205168984877801E-2</v>
      </c>
      <c r="E6" s="5">
        <v>2.2666527639705401E-3</v>
      </c>
      <c r="F6" s="5">
        <v>45</v>
      </c>
      <c r="G6" s="5">
        <v>100</v>
      </c>
    </row>
    <row r="7" spans="1:7" x14ac:dyDescent="0.2">
      <c r="A7" s="5" t="str">
        <f t="shared" si="0"/>
        <v>- SOD</v>
      </c>
      <c r="B7" s="5" t="s">
        <v>13</v>
      </c>
      <c r="C7" s="5">
        <v>3.4403342334213903E-2</v>
      </c>
      <c r="D7" s="5">
        <v>1.55941573154966E-2</v>
      </c>
      <c r="E7" s="5">
        <v>2.3246397206184099E-3</v>
      </c>
      <c r="F7" s="5">
        <v>45</v>
      </c>
      <c r="G7" s="5">
        <v>100</v>
      </c>
    </row>
    <row r="8" spans="1:7" x14ac:dyDescent="0.2">
      <c r="A8" s="5" t="str">
        <f t="shared" si="0"/>
        <v>- SOD</v>
      </c>
      <c r="B8" s="5" t="s">
        <v>14</v>
      </c>
      <c r="C8" s="5">
        <v>2.51257688480645E-2</v>
      </c>
      <c r="D8" s="5">
        <v>1.6096322135146501E-2</v>
      </c>
      <c r="E8" s="5">
        <v>2.3994980321281399E-3</v>
      </c>
      <c r="F8" s="5">
        <v>45</v>
      </c>
      <c r="G8" s="5">
        <v>100</v>
      </c>
    </row>
    <row r="9" spans="1:7" x14ac:dyDescent="0.2">
      <c r="A9" s="5" t="str">
        <f t="shared" si="0"/>
        <v>- SOD</v>
      </c>
      <c r="B9" s="5" t="s">
        <v>15</v>
      </c>
      <c r="C9" s="5">
        <v>2.0357928319930399E-2</v>
      </c>
      <c r="D9" s="5">
        <v>2.0171049671047599E-2</v>
      </c>
      <c r="E9" s="5">
        <v>3.00692254946582E-3</v>
      </c>
      <c r="F9" s="5">
        <v>45</v>
      </c>
      <c r="G9" s="5">
        <v>100</v>
      </c>
    </row>
    <row r="10" spans="1:7" x14ac:dyDescent="0.2">
      <c r="A10" s="5" t="str">
        <f t="shared" si="0"/>
        <v>- SOD</v>
      </c>
      <c r="B10" s="5" t="s">
        <v>16</v>
      </c>
      <c r="C10" s="5">
        <v>1.9006200865459299E-2</v>
      </c>
      <c r="D10" s="5">
        <v>1.19129094304535E-2</v>
      </c>
      <c r="E10" s="5">
        <v>1.7758716864194901E-3</v>
      </c>
      <c r="F10" s="5">
        <v>45</v>
      </c>
      <c r="G10" s="5">
        <v>100</v>
      </c>
    </row>
    <row r="11" spans="1:7" x14ac:dyDescent="0.2">
      <c r="A11" s="5" t="str">
        <f>"+ SOD"</f>
        <v>+ SOD</v>
      </c>
      <c r="B11" s="5" t="s">
        <v>8</v>
      </c>
      <c r="C11" s="5">
        <v>0.45444568178309902</v>
      </c>
      <c r="D11" s="5">
        <v>7.8524959183738294E-2</v>
      </c>
      <c r="E11" s="5">
        <v>1.25740567417118E-2</v>
      </c>
      <c r="F11" s="5">
        <v>39</v>
      </c>
      <c r="G11" s="5">
        <v>100</v>
      </c>
    </row>
    <row r="12" spans="1:7" x14ac:dyDescent="0.2">
      <c r="A12" s="5" t="str">
        <f t="shared" ref="A12:A19" si="1">"+ SOD"</f>
        <v>+ SOD</v>
      </c>
      <c r="B12" s="5" t="s">
        <v>9</v>
      </c>
      <c r="C12" s="5">
        <v>0.15908244456894499</v>
      </c>
      <c r="D12" s="5">
        <v>7.6082986821111795E-2</v>
      </c>
      <c r="E12" s="5">
        <v>1.2183028215641401E-2</v>
      </c>
      <c r="F12" s="5">
        <v>39</v>
      </c>
      <c r="G12" s="5">
        <v>100</v>
      </c>
    </row>
    <row r="13" spans="1:7" x14ac:dyDescent="0.2">
      <c r="A13" s="5" t="str">
        <f t="shared" si="1"/>
        <v>+ SOD</v>
      </c>
      <c r="B13" s="5" t="s">
        <v>11</v>
      </c>
      <c r="C13" s="5">
        <v>9.6100300627762106E-2</v>
      </c>
      <c r="D13" s="5">
        <v>5.9416085518549197E-2</v>
      </c>
      <c r="E13" s="5">
        <v>9.5141880804104507E-3</v>
      </c>
      <c r="F13" s="5">
        <v>39</v>
      </c>
      <c r="G13" s="5">
        <v>100</v>
      </c>
    </row>
    <row r="14" spans="1:7" x14ac:dyDescent="0.2">
      <c r="A14" s="5" t="str">
        <f t="shared" si="1"/>
        <v>+ SOD</v>
      </c>
      <c r="B14" s="5" t="s">
        <v>10</v>
      </c>
      <c r="C14" s="5">
        <v>8.0631433990717497E-2</v>
      </c>
      <c r="D14" s="5">
        <v>3.7469672756098103E-2</v>
      </c>
      <c r="E14" s="5">
        <v>5.9999495221147604E-3</v>
      </c>
      <c r="F14" s="5">
        <v>39</v>
      </c>
      <c r="G14" s="5">
        <v>100</v>
      </c>
    </row>
    <row r="15" spans="1:7" x14ac:dyDescent="0.2">
      <c r="A15" s="5" t="str">
        <f t="shared" si="1"/>
        <v>+ SOD</v>
      </c>
      <c r="B15" s="5" t="s">
        <v>13</v>
      </c>
      <c r="C15" s="5">
        <v>6.3880782549937704E-2</v>
      </c>
      <c r="D15" s="5">
        <v>4.5497285227009902E-2</v>
      </c>
      <c r="E15" s="5">
        <v>7.2853962865445602E-3</v>
      </c>
      <c r="F15" s="5">
        <v>39</v>
      </c>
      <c r="G15" s="5">
        <v>100</v>
      </c>
    </row>
    <row r="16" spans="1:7" x14ac:dyDescent="0.2">
      <c r="A16" s="5" t="str">
        <f t="shared" si="1"/>
        <v>+ SOD</v>
      </c>
      <c r="B16" s="5" t="s">
        <v>12</v>
      </c>
      <c r="C16" s="5">
        <v>4.54685204351006E-2</v>
      </c>
      <c r="D16" s="5">
        <v>1.6010612556366401E-2</v>
      </c>
      <c r="E16" s="5">
        <v>2.5637498299394901E-3</v>
      </c>
      <c r="F16" s="5">
        <v>39</v>
      </c>
      <c r="G16" s="5">
        <v>100</v>
      </c>
    </row>
    <row r="17" spans="1:7" x14ac:dyDescent="0.2">
      <c r="A17" s="5" t="str">
        <f t="shared" si="1"/>
        <v>+ SOD</v>
      </c>
      <c r="B17" s="5" t="s">
        <v>15</v>
      </c>
      <c r="C17" s="5">
        <v>2.98102822683434E-2</v>
      </c>
      <c r="D17" s="5">
        <v>2.5925353774404601E-2</v>
      </c>
      <c r="E17" s="5">
        <v>4.1513790366391598E-3</v>
      </c>
      <c r="F17" s="5">
        <v>39</v>
      </c>
      <c r="G17" s="5">
        <v>97.435897435897402</v>
      </c>
    </row>
    <row r="18" spans="1:7" x14ac:dyDescent="0.2">
      <c r="A18" s="5" t="str">
        <f t="shared" si="1"/>
        <v>+ SOD</v>
      </c>
      <c r="B18" s="5" t="s">
        <v>14</v>
      </c>
      <c r="C18" s="5">
        <v>2.73708975311544E-2</v>
      </c>
      <c r="D18" s="5">
        <v>1.51235183969179E-2</v>
      </c>
      <c r="E18" s="5">
        <v>2.42170107993573E-3</v>
      </c>
      <c r="F18" s="5">
        <v>39</v>
      </c>
      <c r="G18" s="5">
        <v>100</v>
      </c>
    </row>
    <row r="19" spans="1:7" x14ac:dyDescent="0.2">
      <c r="A19" s="5" t="str">
        <f t="shared" si="1"/>
        <v>+ SOD</v>
      </c>
      <c r="B19" s="5" t="s">
        <v>16</v>
      </c>
      <c r="C19" s="5">
        <v>2.4172775343122101E-2</v>
      </c>
      <c r="D19" s="5">
        <v>2.16108503149256E-2</v>
      </c>
      <c r="E19" s="5">
        <v>3.4605055630871299E-3</v>
      </c>
      <c r="F19" s="5">
        <v>39</v>
      </c>
      <c r="G19" s="5">
        <v>100</v>
      </c>
    </row>
    <row r="20" spans="1:7" x14ac:dyDescent="0.2">
      <c r="A20" s="5" t="s">
        <v>69</v>
      </c>
      <c r="B20" s="5" t="s">
        <v>8</v>
      </c>
      <c r="C20" s="5">
        <v>0.50137531078993303</v>
      </c>
      <c r="D20" s="5">
        <v>8.9134494425429103E-2</v>
      </c>
      <c r="E20" s="5">
        <v>2.3822195677376298E-2</v>
      </c>
      <c r="F20" s="5">
        <v>14</v>
      </c>
      <c r="G20" s="5">
        <v>100</v>
      </c>
    </row>
    <row r="21" spans="1:7" x14ac:dyDescent="0.2">
      <c r="A21" s="5" t="s">
        <v>69</v>
      </c>
      <c r="B21" s="5" t="s">
        <v>11</v>
      </c>
      <c r="C21" s="5">
        <v>0.165303628446722</v>
      </c>
      <c r="D21" s="5">
        <v>8.7861148883289095E-2</v>
      </c>
      <c r="E21" s="5">
        <v>2.3481879766400302E-2</v>
      </c>
      <c r="F21" s="5">
        <v>14</v>
      </c>
      <c r="G21" s="5">
        <v>100</v>
      </c>
    </row>
    <row r="22" spans="1:7" x14ac:dyDescent="0.2">
      <c r="A22" s="5" t="s">
        <v>69</v>
      </c>
      <c r="B22" s="5" t="s">
        <v>9</v>
      </c>
      <c r="C22" s="5">
        <v>0.100301654341669</v>
      </c>
      <c r="D22" s="5">
        <v>8.26957259268081E-2</v>
      </c>
      <c r="E22" s="5">
        <v>2.2101362412048201E-2</v>
      </c>
      <c r="F22" s="5">
        <v>14</v>
      </c>
      <c r="G22" s="5">
        <v>100</v>
      </c>
    </row>
    <row r="23" spans="1:7" x14ac:dyDescent="0.2">
      <c r="A23" s="5" t="s">
        <v>69</v>
      </c>
      <c r="B23" s="5" t="s">
        <v>15</v>
      </c>
      <c r="C23" s="5">
        <v>5.2758470664575903E-2</v>
      </c>
      <c r="D23" s="5">
        <v>5.7504448855025002E-2</v>
      </c>
      <c r="E23" s="5">
        <v>1.5368710416483499E-2</v>
      </c>
      <c r="F23" s="5">
        <v>14</v>
      </c>
      <c r="G23" s="5">
        <v>100</v>
      </c>
    </row>
    <row r="24" spans="1:7" x14ac:dyDescent="0.2">
      <c r="A24" s="5" t="s">
        <v>69</v>
      </c>
      <c r="B24" s="5" t="s">
        <v>13</v>
      </c>
      <c r="C24" s="5">
        <v>5.0017771023292898E-2</v>
      </c>
      <c r="D24" s="5">
        <v>3.1623604951026597E-2</v>
      </c>
      <c r="E24" s="5">
        <v>8.4517639329592595E-3</v>
      </c>
      <c r="F24" s="5">
        <v>14</v>
      </c>
      <c r="G24" s="5">
        <v>100</v>
      </c>
    </row>
    <row r="25" spans="1:7" x14ac:dyDescent="0.2">
      <c r="A25" s="5" t="s">
        <v>69</v>
      </c>
      <c r="B25" s="5" t="s">
        <v>10</v>
      </c>
      <c r="C25" s="5">
        <v>3.43854418756038E-2</v>
      </c>
      <c r="D25" s="5">
        <v>2.4548564193795499E-2</v>
      </c>
      <c r="E25" s="5">
        <v>6.5608797536006501E-3</v>
      </c>
      <c r="F25" s="5">
        <v>14</v>
      </c>
      <c r="G25" s="5">
        <v>100</v>
      </c>
    </row>
    <row r="26" spans="1:7" x14ac:dyDescent="0.2">
      <c r="A26" s="5" t="s">
        <v>69</v>
      </c>
      <c r="B26" s="5" t="s">
        <v>12</v>
      </c>
      <c r="C26" s="5">
        <v>3.2664658421830403E-2</v>
      </c>
      <c r="D26" s="5">
        <v>2.0526914930435201E-2</v>
      </c>
      <c r="E26" s="5">
        <v>5.4860487769387897E-3</v>
      </c>
      <c r="F26" s="5">
        <v>14</v>
      </c>
      <c r="G26" s="5">
        <v>100</v>
      </c>
    </row>
    <row r="27" spans="1:7" x14ac:dyDescent="0.2">
      <c r="A27" s="5" t="s">
        <v>69</v>
      </c>
      <c r="B27" s="5" t="s">
        <v>14</v>
      </c>
      <c r="C27" s="5">
        <v>3.0397337325989399E-2</v>
      </c>
      <c r="D27" s="5">
        <v>1.97643070294167E-2</v>
      </c>
      <c r="E27" s="5">
        <v>5.2822332422203799E-3</v>
      </c>
      <c r="F27" s="5">
        <v>14</v>
      </c>
      <c r="G27" s="5">
        <v>100</v>
      </c>
    </row>
    <row r="28" spans="1:7" x14ac:dyDescent="0.2">
      <c r="A28" s="5" t="s">
        <v>69</v>
      </c>
      <c r="B28" s="5" t="s">
        <v>16</v>
      </c>
      <c r="C28" s="5">
        <v>1.87971780802592E-2</v>
      </c>
      <c r="D28" s="5">
        <v>1.37326414978908E-2</v>
      </c>
      <c r="E28" s="5">
        <v>3.67020282146439E-3</v>
      </c>
      <c r="F28" s="5">
        <v>14</v>
      </c>
      <c r="G28" s="5">
        <v>100</v>
      </c>
    </row>
    <row r="30" spans="1:7" ht="18" x14ac:dyDescent="0.2">
      <c r="A30" s="1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F361-428A-5B48-953E-88D02177D858}">
  <dimension ref="A1:G92"/>
  <sheetViews>
    <sheetView topLeftCell="A66" workbookViewId="0">
      <selection activeCell="D95" sqref="D95"/>
    </sheetView>
  </sheetViews>
  <sheetFormatPr baseColWidth="10" defaultRowHeight="16" x14ac:dyDescent="0.2"/>
  <cols>
    <col min="1" max="1" width="17.6640625" style="2" customWidth="1"/>
    <col min="2" max="2" width="42.83203125" style="2" bestFit="1" customWidth="1"/>
    <col min="3" max="3" width="27.83203125" style="2" bestFit="1" customWidth="1"/>
    <col min="4" max="4" width="20.1640625" style="2" bestFit="1" customWidth="1"/>
    <col min="5" max="5" width="16" style="2" bestFit="1" customWidth="1"/>
    <col min="6" max="6" width="13.5" style="2" bestFit="1" customWidth="1"/>
    <col min="7" max="7" width="20.83203125" style="2" bestFit="1" customWidth="1"/>
    <col min="8" max="16384" width="10.83203125" style="7"/>
  </cols>
  <sheetData>
    <row r="1" spans="1:7" ht="17" thickBot="1" x14ac:dyDescent="0.25">
      <c r="A1" s="35" t="s">
        <v>150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19</v>
      </c>
      <c r="C2" s="5">
        <v>0.172833467516357</v>
      </c>
      <c r="D2" s="5">
        <v>0.12169147199543399</v>
      </c>
      <c r="E2" s="5">
        <v>1.8140693577586801E-2</v>
      </c>
      <c r="F2" s="5">
        <v>45</v>
      </c>
      <c r="G2" s="5">
        <v>95.5555555555556</v>
      </c>
    </row>
    <row r="3" spans="1:7" x14ac:dyDescent="0.2">
      <c r="A3" s="5" t="str">
        <f t="shared" ref="A3:A26" si="0">"- SOD"</f>
        <v>- SOD</v>
      </c>
      <c r="B3" s="5" t="s">
        <v>20</v>
      </c>
      <c r="C3" s="5">
        <v>5.5163373489137302E-2</v>
      </c>
      <c r="D3" s="5">
        <v>4.66324524595704E-2</v>
      </c>
      <c r="E3" s="5">
        <v>6.9515555771417796E-3</v>
      </c>
      <c r="F3" s="5">
        <v>45</v>
      </c>
      <c r="G3" s="5">
        <v>93.3333333333333</v>
      </c>
    </row>
    <row r="4" spans="1:7" x14ac:dyDescent="0.2">
      <c r="A4" s="5" t="str">
        <f t="shared" si="0"/>
        <v>- SOD</v>
      </c>
      <c r="B4" s="5" t="s">
        <v>21</v>
      </c>
      <c r="C4" s="5">
        <v>5.0708266329764801E-2</v>
      </c>
      <c r="D4" s="5">
        <v>4.1579484140163499E-2</v>
      </c>
      <c r="E4" s="5">
        <v>6.1983035337853298E-3</v>
      </c>
      <c r="F4" s="5">
        <v>45</v>
      </c>
      <c r="G4" s="5">
        <v>97.7777777777778</v>
      </c>
    </row>
    <row r="5" spans="1:7" x14ac:dyDescent="0.2">
      <c r="A5" s="5" t="str">
        <f t="shared" si="0"/>
        <v>- SOD</v>
      </c>
      <c r="B5" s="5" t="s">
        <v>22</v>
      </c>
      <c r="C5" s="5">
        <v>4.5073728636215803E-2</v>
      </c>
      <c r="D5" s="5">
        <v>1.2701934715174701E-2</v>
      </c>
      <c r="E5" s="5">
        <v>1.8934926312596701E-3</v>
      </c>
      <c r="F5" s="5">
        <v>45</v>
      </c>
      <c r="G5" s="5">
        <v>100</v>
      </c>
    </row>
    <row r="6" spans="1:7" x14ac:dyDescent="0.2">
      <c r="A6" s="5" t="str">
        <f t="shared" si="0"/>
        <v>- SOD</v>
      </c>
      <c r="B6" s="5" t="s">
        <v>23</v>
      </c>
      <c r="C6" s="5">
        <v>4.1463632360168999E-2</v>
      </c>
      <c r="D6" s="5">
        <v>3.5873994729641298E-2</v>
      </c>
      <c r="E6" s="5">
        <v>5.3477793893297997E-3</v>
      </c>
      <c r="F6" s="5">
        <v>45</v>
      </c>
      <c r="G6" s="5">
        <v>100</v>
      </c>
    </row>
    <row r="7" spans="1:7" x14ac:dyDescent="0.2">
      <c r="A7" s="5" t="str">
        <f t="shared" si="0"/>
        <v>- SOD</v>
      </c>
      <c r="B7" s="5" t="s">
        <v>25</v>
      </c>
      <c r="C7" s="5">
        <v>3.6159288840867797E-2</v>
      </c>
      <c r="D7" s="5">
        <v>1.6853932603729499E-2</v>
      </c>
      <c r="E7" s="5">
        <v>2.5124359326759399E-3</v>
      </c>
      <c r="F7" s="5">
        <v>45</v>
      </c>
      <c r="G7" s="5">
        <v>100</v>
      </c>
    </row>
    <row r="8" spans="1:7" x14ac:dyDescent="0.2">
      <c r="A8" s="5" t="str">
        <f t="shared" si="0"/>
        <v>- SOD</v>
      </c>
      <c r="B8" s="5" t="s">
        <v>24</v>
      </c>
      <c r="C8" s="5">
        <v>3.5744021504464103E-2</v>
      </c>
      <c r="D8" s="5">
        <v>2.23452616090654E-2</v>
      </c>
      <c r="E8" s="5">
        <v>3.3310349288591099E-3</v>
      </c>
      <c r="F8" s="5">
        <v>45</v>
      </c>
      <c r="G8" s="5">
        <v>100</v>
      </c>
    </row>
    <row r="9" spans="1:7" x14ac:dyDescent="0.2">
      <c r="A9" s="5" t="str">
        <f t="shared" si="0"/>
        <v>- SOD</v>
      </c>
      <c r="B9" s="5" t="s">
        <v>27</v>
      </c>
      <c r="C9" s="5">
        <v>3.27722377176198E-2</v>
      </c>
      <c r="D9" s="5">
        <v>2.4316113812231799E-2</v>
      </c>
      <c r="E9" s="5">
        <v>3.6248322288514501E-3</v>
      </c>
      <c r="F9" s="5">
        <v>45</v>
      </c>
      <c r="G9" s="5">
        <v>97.7777777777778</v>
      </c>
    </row>
    <row r="10" spans="1:7" x14ac:dyDescent="0.2">
      <c r="A10" s="5" t="str">
        <f t="shared" si="0"/>
        <v>- SOD</v>
      </c>
      <c r="B10" s="5" t="s">
        <v>26</v>
      </c>
      <c r="C10" s="5">
        <v>3.1906667645896399E-2</v>
      </c>
      <c r="D10" s="5">
        <v>2.0486660643895101E-2</v>
      </c>
      <c r="E10" s="5">
        <v>3.05397105544793E-3</v>
      </c>
      <c r="F10" s="5">
        <v>45</v>
      </c>
      <c r="G10" s="5">
        <v>100</v>
      </c>
    </row>
    <row r="11" spans="1:7" x14ac:dyDescent="0.2">
      <c r="A11" s="5" t="str">
        <f t="shared" si="0"/>
        <v>- SOD</v>
      </c>
      <c r="B11" s="5" t="s">
        <v>178</v>
      </c>
      <c r="C11" s="41" t="s">
        <v>149</v>
      </c>
      <c r="D11" s="42" t="s">
        <v>149</v>
      </c>
      <c r="E11" s="42" t="s">
        <v>149</v>
      </c>
      <c r="F11" s="42" t="s">
        <v>149</v>
      </c>
      <c r="G11" s="42" t="s">
        <v>149</v>
      </c>
    </row>
    <row r="12" spans="1:7" x14ac:dyDescent="0.2">
      <c r="A12" s="5" t="str">
        <f t="shared" si="0"/>
        <v>- SOD</v>
      </c>
      <c r="B12" s="5" t="s">
        <v>28</v>
      </c>
      <c r="C12" s="5">
        <v>2.4894312882119501E-2</v>
      </c>
      <c r="D12" s="5">
        <v>1.9198383099275101E-2</v>
      </c>
      <c r="E12" s="5">
        <v>2.8619259778708199E-3</v>
      </c>
      <c r="F12" s="5">
        <v>45</v>
      </c>
      <c r="G12" s="5">
        <v>95.5555555555556</v>
      </c>
    </row>
    <row r="13" spans="1:7" x14ac:dyDescent="0.2">
      <c r="A13" s="5" t="str">
        <f t="shared" si="0"/>
        <v>- SOD</v>
      </c>
      <c r="B13" s="5" t="s">
        <v>29</v>
      </c>
      <c r="C13" s="5">
        <v>2.2818869838341901E-2</v>
      </c>
      <c r="D13" s="5">
        <v>3.1683385419521898E-2</v>
      </c>
      <c r="E13" s="5">
        <v>4.7230802370251098E-3</v>
      </c>
      <c r="F13" s="5">
        <v>45</v>
      </c>
      <c r="G13" s="5">
        <v>91.1111111111111</v>
      </c>
    </row>
    <row r="14" spans="1:7" x14ac:dyDescent="0.2">
      <c r="A14" s="5" t="str">
        <f t="shared" si="0"/>
        <v>- SOD</v>
      </c>
      <c r="B14" s="5" t="s">
        <v>30</v>
      </c>
      <c r="C14" s="5">
        <v>2.2416897003086099E-2</v>
      </c>
      <c r="D14" s="5">
        <v>1.1809934470673401E-2</v>
      </c>
      <c r="E14" s="5">
        <v>1.7605210857495801E-3</v>
      </c>
      <c r="F14" s="5">
        <v>45</v>
      </c>
      <c r="G14" s="5">
        <v>100</v>
      </c>
    </row>
    <row r="15" spans="1:7" x14ac:dyDescent="0.2">
      <c r="A15" s="5" t="str">
        <f t="shared" si="0"/>
        <v>- SOD</v>
      </c>
      <c r="B15" s="5" t="s">
        <v>32</v>
      </c>
      <c r="C15" s="5">
        <v>1.99458191474307E-2</v>
      </c>
      <c r="D15" s="5">
        <v>1.7216928158171298E-2</v>
      </c>
      <c r="E15" s="5">
        <v>2.5665481150267499E-3</v>
      </c>
      <c r="F15" s="5">
        <v>45</v>
      </c>
      <c r="G15" s="5">
        <v>95.5555555555556</v>
      </c>
    </row>
    <row r="16" spans="1:7" x14ac:dyDescent="0.2">
      <c r="A16" s="5" t="str">
        <f t="shared" si="0"/>
        <v>- SOD</v>
      </c>
      <c r="B16" s="5" t="s">
        <v>33</v>
      </c>
      <c r="C16" s="5">
        <v>1.9153675390515001E-2</v>
      </c>
      <c r="D16" s="5">
        <v>1.37171794414066E-2</v>
      </c>
      <c r="E16" s="5">
        <v>2.0448363793698502E-3</v>
      </c>
      <c r="F16" s="5">
        <v>45</v>
      </c>
      <c r="G16" s="5">
        <v>91.1111111111111</v>
      </c>
    </row>
    <row r="17" spans="1:7" x14ac:dyDescent="0.2">
      <c r="A17" s="5" t="str">
        <f t="shared" si="0"/>
        <v>- SOD</v>
      </c>
      <c r="B17" s="5" t="s">
        <v>31</v>
      </c>
      <c r="C17" s="5">
        <v>1.90962540448355E-2</v>
      </c>
      <c r="D17" s="5">
        <v>2.5188322440995201E-2</v>
      </c>
      <c r="E17" s="5">
        <v>3.7548534144832501E-3</v>
      </c>
      <c r="F17" s="5">
        <v>45</v>
      </c>
      <c r="G17" s="5">
        <v>86.6666666666667</v>
      </c>
    </row>
    <row r="18" spans="1:7" x14ac:dyDescent="0.2">
      <c r="A18" s="5" t="str">
        <f t="shared" si="0"/>
        <v>- SOD</v>
      </c>
      <c r="B18" s="5" t="s">
        <v>34</v>
      </c>
      <c r="C18" s="5">
        <v>1.75935561323338E-2</v>
      </c>
      <c r="D18" s="5">
        <v>1.82286310352919E-2</v>
      </c>
      <c r="E18" s="5">
        <v>2.7173638754449999E-3</v>
      </c>
      <c r="F18" s="5">
        <v>45</v>
      </c>
      <c r="G18" s="5">
        <v>95.5555555555556</v>
      </c>
    </row>
    <row r="19" spans="1:7" x14ac:dyDescent="0.2">
      <c r="A19" s="5" t="str">
        <f t="shared" si="0"/>
        <v>- SOD</v>
      </c>
      <c r="B19" s="5" t="s">
        <v>35</v>
      </c>
      <c r="C19" s="5">
        <v>1.5790585746226798E-2</v>
      </c>
      <c r="D19" s="5">
        <v>9.5894930477688003E-3</v>
      </c>
      <c r="E19" s="5">
        <v>1.42951722163818E-3</v>
      </c>
      <c r="F19" s="5">
        <v>45</v>
      </c>
      <c r="G19" s="5">
        <v>97.7777777777778</v>
      </c>
    </row>
    <row r="20" spans="1:7" x14ac:dyDescent="0.2">
      <c r="A20" s="5" t="str">
        <f t="shared" si="0"/>
        <v>- SOD</v>
      </c>
      <c r="B20" s="5" t="s">
        <v>36</v>
      </c>
      <c r="C20" s="5">
        <v>1.43515194750597E-2</v>
      </c>
      <c r="D20" s="5">
        <v>1.39977473067819E-2</v>
      </c>
      <c r="E20" s="5">
        <v>2.0866609673219302E-3</v>
      </c>
      <c r="F20" s="5">
        <v>45</v>
      </c>
      <c r="G20" s="5">
        <v>97.7777777777778</v>
      </c>
    </row>
    <row r="21" spans="1:7" x14ac:dyDescent="0.2">
      <c r="A21" s="5" t="str">
        <f t="shared" si="0"/>
        <v>- SOD</v>
      </c>
      <c r="B21" s="5" t="s">
        <v>38</v>
      </c>
      <c r="C21" s="5">
        <v>1.4100450419681001E-2</v>
      </c>
      <c r="D21" s="5">
        <v>2.5816058924256601E-2</v>
      </c>
      <c r="E21" s="5">
        <v>3.8484308443851901E-3</v>
      </c>
      <c r="F21" s="5">
        <v>45</v>
      </c>
      <c r="G21" s="5">
        <v>73.3333333333333</v>
      </c>
    </row>
    <row r="22" spans="1:7" x14ac:dyDescent="0.2">
      <c r="A22" s="5" t="str">
        <f t="shared" si="0"/>
        <v>- SOD</v>
      </c>
      <c r="B22" s="5" t="s">
        <v>37</v>
      </c>
      <c r="C22" s="5">
        <v>1.40098929392451E-2</v>
      </c>
      <c r="D22" s="5">
        <v>9.3460190829770303E-3</v>
      </c>
      <c r="E22" s="5">
        <v>1.39322226590313E-3</v>
      </c>
      <c r="F22" s="5">
        <v>45</v>
      </c>
      <c r="G22" s="5">
        <v>100</v>
      </c>
    </row>
    <row r="23" spans="1:7" x14ac:dyDescent="0.2">
      <c r="A23" s="5" t="str">
        <f t="shared" si="0"/>
        <v>- SOD</v>
      </c>
      <c r="B23" s="5" t="s">
        <v>39</v>
      </c>
      <c r="C23" s="5">
        <v>1.2882046338095299E-2</v>
      </c>
      <c r="D23" s="5">
        <v>1.26496966165397E-2</v>
      </c>
      <c r="E23" s="5">
        <v>1.88570543528878E-3</v>
      </c>
      <c r="F23" s="5">
        <v>45</v>
      </c>
      <c r="G23" s="5">
        <v>88.8888888888889</v>
      </c>
    </row>
    <row r="24" spans="1:7" x14ac:dyDescent="0.2">
      <c r="A24" s="5" t="str">
        <f t="shared" si="0"/>
        <v>- SOD</v>
      </c>
      <c r="B24" s="5" t="s">
        <v>40</v>
      </c>
      <c r="C24" s="5">
        <v>1.16514859811992E-2</v>
      </c>
      <c r="D24" s="5">
        <v>5.6224672980610801E-3</v>
      </c>
      <c r="E24" s="5">
        <v>8.3814793864894299E-4</v>
      </c>
      <c r="F24" s="5">
        <v>45</v>
      </c>
      <c r="G24" s="5">
        <v>97.7777777777778</v>
      </c>
    </row>
    <row r="25" spans="1:7" x14ac:dyDescent="0.2">
      <c r="A25" s="5" t="str">
        <f t="shared" si="0"/>
        <v>- SOD</v>
      </c>
      <c r="B25" s="5" t="s">
        <v>41</v>
      </c>
      <c r="C25" s="5">
        <v>1.05699713934329E-2</v>
      </c>
      <c r="D25" s="5">
        <v>1.0341583584239099E-2</v>
      </c>
      <c r="E25" s="5">
        <v>1.5416322592903E-3</v>
      </c>
      <c r="F25" s="5">
        <v>45</v>
      </c>
      <c r="G25" s="5">
        <v>82.2222222222222</v>
      </c>
    </row>
    <row r="26" spans="1:7" x14ac:dyDescent="0.2">
      <c r="A26" s="5" t="str">
        <f t="shared" si="0"/>
        <v>- SOD</v>
      </c>
      <c r="B26" s="5" t="s">
        <v>44</v>
      </c>
      <c r="C26" s="5">
        <v>8.09030857609974E-3</v>
      </c>
      <c r="D26" s="5">
        <v>5.2604003718739198E-3</v>
      </c>
      <c r="E26" s="5">
        <v>7.8417418802501798E-4</v>
      </c>
      <c r="F26" s="5">
        <v>45</v>
      </c>
      <c r="G26" s="5">
        <v>93.3333333333333</v>
      </c>
    </row>
    <row r="27" spans="1:7" x14ac:dyDescent="0.2">
      <c r="A27" s="5" t="str">
        <f>"+ SOD"</f>
        <v>+ SOD</v>
      </c>
      <c r="B27" s="5" t="s">
        <v>19</v>
      </c>
      <c r="C27" s="5">
        <v>0.14308768726892501</v>
      </c>
      <c r="D27" s="5">
        <v>0.103480662800028</v>
      </c>
      <c r="E27" s="5">
        <v>1.6570167488695199E-2</v>
      </c>
      <c r="F27" s="5">
        <v>39</v>
      </c>
      <c r="G27" s="5">
        <v>100</v>
      </c>
    </row>
    <row r="28" spans="1:7" x14ac:dyDescent="0.2">
      <c r="A28" s="5" t="str">
        <f t="shared" ref="A28:A55" si="1">"+ SOD"</f>
        <v>+ SOD</v>
      </c>
      <c r="B28" s="5" t="s">
        <v>20</v>
      </c>
      <c r="C28" s="5">
        <v>4.23259238561563E-2</v>
      </c>
      <c r="D28" s="5">
        <v>5.4430379808857503E-2</v>
      </c>
      <c r="E28" s="5">
        <v>8.7158362297020398E-3</v>
      </c>
      <c r="F28" s="5">
        <v>39</v>
      </c>
      <c r="G28" s="5">
        <v>94.871794871794904</v>
      </c>
    </row>
    <row r="29" spans="1:7" x14ac:dyDescent="0.2">
      <c r="A29" s="5" t="str">
        <f t="shared" si="1"/>
        <v>+ SOD</v>
      </c>
      <c r="B29" s="5" t="s">
        <v>22</v>
      </c>
      <c r="C29" s="5">
        <v>4.0357751780649598E-2</v>
      </c>
      <c r="D29" s="5">
        <v>1.7680685024647199E-2</v>
      </c>
      <c r="E29" s="5">
        <v>2.8311754510060099E-3</v>
      </c>
      <c r="F29" s="5">
        <v>39</v>
      </c>
      <c r="G29" s="5">
        <v>100</v>
      </c>
    </row>
    <row r="30" spans="1:7" x14ac:dyDescent="0.2">
      <c r="A30" s="5" t="str">
        <f t="shared" si="1"/>
        <v>+ SOD</v>
      </c>
      <c r="B30" s="5" t="s">
        <v>23</v>
      </c>
      <c r="C30" s="5">
        <v>3.7809774483549698E-2</v>
      </c>
      <c r="D30" s="5">
        <v>3.06848787262421E-2</v>
      </c>
      <c r="E30" s="5">
        <v>4.9135129801661298E-3</v>
      </c>
      <c r="F30" s="5">
        <v>39</v>
      </c>
      <c r="G30" s="5">
        <v>97.435897435897402</v>
      </c>
    </row>
    <row r="31" spans="1:7" x14ac:dyDescent="0.2">
      <c r="A31" s="5" t="str">
        <f t="shared" si="1"/>
        <v>+ SOD</v>
      </c>
      <c r="B31" s="5" t="s">
        <v>24</v>
      </c>
      <c r="C31" s="5">
        <v>3.0390436134096602E-2</v>
      </c>
      <c r="D31" s="5">
        <v>2.1233967882948099E-2</v>
      </c>
      <c r="E31" s="5">
        <v>3.40015607505299E-3</v>
      </c>
      <c r="F31" s="5">
        <v>39</v>
      </c>
      <c r="G31" s="5">
        <v>97.435897435897402</v>
      </c>
    </row>
    <row r="32" spans="1:7" x14ac:dyDescent="0.2">
      <c r="A32" s="5" t="str">
        <f t="shared" si="1"/>
        <v>+ SOD</v>
      </c>
      <c r="B32" s="5" t="s">
        <v>21</v>
      </c>
      <c r="C32" s="5">
        <v>2.9850137514103099E-2</v>
      </c>
      <c r="D32" s="5">
        <v>2.5875445454474399E-2</v>
      </c>
      <c r="E32" s="5">
        <v>4.1433873095092196E-3</v>
      </c>
      <c r="F32" s="5">
        <v>39</v>
      </c>
      <c r="G32" s="5">
        <v>97.435897435897402</v>
      </c>
    </row>
    <row r="33" spans="1:7" x14ac:dyDescent="0.2">
      <c r="A33" s="5" t="str">
        <f t="shared" si="1"/>
        <v>+ SOD</v>
      </c>
      <c r="B33" s="5" t="s">
        <v>25</v>
      </c>
      <c r="C33" s="5">
        <v>2.9455553024124E-2</v>
      </c>
      <c r="D33" s="5">
        <v>1.8163105261077402E-2</v>
      </c>
      <c r="E33" s="5">
        <v>2.9084245128237901E-3</v>
      </c>
      <c r="F33" s="5">
        <v>39</v>
      </c>
      <c r="G33" s="5">
        <v>100</v>
      </c>
    </row>
    <row r="34" spans="1:7" x14ac:dyDescent="0.2">
      <c r="A34" s="5" t="str">
        <f t="shared" si="1"/>
        <v>+ SOD</v>
      </c>
      <c r="B34" s="5" t="s">
        <v>26</v>
      </c>
      <c r="C34" s="5">
        <v>2.58390594924745E-2</v>
      </c>
      <c r="D34" s="5">
        <v>1.59705180265565E-2</v>
      </c>
      <c r="E34" s="5">
        <v>2.5573295669033499E-3</v>
      </c>
      <c r="F34" s="5">
        <v>39</v>
      </c>
      <c r="G34" s="5">
        <v>100</v>
      </c>
    </row>
    <row r="35" spans="1:7" x14ac:dyDescent="0.2">
      <c r="A35" s="5" t="str">
        <f t="shared" si="1"/>
        <v>+ SOD</v>
      </c>
      <c r="B35" s="5" t="s">
        <v>43</v>
      </c>
      <c r="C35" s="5">
        <v>2.41985890276597E-2</v>
      </c>
      <c r="D35" s="5">
        <v>2.82054166085993E-2</v>
      </c>
      <c r="E35" s="5">
        <v>4.5164812888383596E-3</v>
      </c>
      <c r="F35" s="5">
        <v>39</v>
      </c>
      <c r="G35" s="5">
        <v>89.743589743589794</v>
      </c>
    </row>
    <row r="36" spans="1:7" x14ac:dyDescent="0.2">
      <c r="A36" s="5" t="str">
        <f t="shared" si="1"/>
        <v>+ SOD</v>
      </c>
      <c r="B36" s="5" t="s">
        <v>32</v>
      </c>
      <c r="C36" s="5">
        <v>2.4027094482495501E-2</v>
      </c>
      <c r="D36" s="5">
        <v>2.51954802185099E-2</v>
      </c>
      <c r="E36" s="5">
        <v>4.0345057316225801E-3</v>
      </c>
      <c r="F36" s="5">
        <v>39</v>
      </c>
      <c r="G36" s="5">
        <v>92.307692307692307</v>
      </c>
    </row>
    <row r="37" spans="1:7" x14ac:dyDescent="0.2">
      <c r="A37" s="5" t="str">
        <f t="shared" si="1"/>
        <v>+ SOD</v>
      </c>
      <c r="B37" s="5" t="s">
        <v>27</v>
      </c>
      <c r="C37" s="5">
        <v>2.3684496941872201E-2</v>
      </c>
      <c r="D37" s="5">
        <v>1.8175818532038299E-2</v>
      </c>
      <c r="E37" s="5">
        <v>2.91046026543159E-3</v>
      </c>
      <c r="F37" s="5">
        <v>39</v>
      </c>
      <c r="G37" s="5">
        <v>94.871794871794904</v>
      </c>
    </row>
    <row r="38" spans="1:7" x14ac:dyDescent="0.2">
      <c r="A38" s="5" t="str">
        <f t="shared" si="1"/>
        <v>+ SOD</v>
      </c>
      <c r="B38" s="5" t="s">
        <v>30</v>
      </c>
      <c r="C38" s="5">
        <v>2.2313566993157601E-2</v>
      </c>
      <c r="D38" s="5">
        <v>1.2411802168307199E-2</v>
      </c>
      <c r="E38" s="5">
        <v>1.98747896660501E-3</v>
      </c>
      <c r="F38" s="5">
        <v>39</v>
      </c>
      <c r="G38" s="5">
        <v>100</v>
      </c>
    </row>
    <row r="39" spans="1:7" x14ac:dyDescent="0.2">
      <c r="A39" s="5" t="str">
        <f t="shared" si="1"/>
        <v>+ SOD</v>
      </c>
      <c r="B39" s="5" t="s">
        <v>28</v>
      </c>
      <c r="C39" s="5">
        <v>2.2203947573854899E-2</v>
      </c>
      <c r="D39" s="5">
        <v>1.6688536882414701E-2</v>
      </c>
      <c r="E39" s="5">
        <v>2.6723046006891598E-3</v>
      </c>
      <c r="F39" s="5">
        <v>39</v>
      </c>
      <c r="G39" s="5">
        <v>94.871794871794904</v>
      </c>
    </row>
    <row r="40" spans="1:7" x14ac:dyDescent="0.2">
      <c r="A40" s="5" t="str">
        <f t="shared" si="1"/>
        <v>+ SOD</v>
      </c>
      <c r="B40" s="5" t="s">
        <v>29</v>
      </c>
      <c r="C40" s="5">
        <v>2.0067239058351002E-2</v>
      </c>
      <c r="D40" s="5">
        <v>1.9578647701615898E-2</v>
      </c>
      <c r="E40" s="5">
        <v>3.1350927104599698E-3</v>
      </c>
      <c r="F40" s="5">
        <v>39</v>
      </c>
      <c r="G40" s="5">
        <v>100</v>
      </c>
    </row>
    <row r="41" spans="1:7" x14ac:dyDescent="0.2">
      <c r="A41" s="5" t="str">
        <f t="shared" si="1"/>
        <v>+ SOD</v>
      </c>
      <c r="B41" s="5" t="s">
        <v>38</v>
      </c>
      <c r="C41" s="5">
        <v>1.8035020235786101E-2</v>
      </c>
      <c r="D41" s="5">
        <v>2.9131700686282701E-2</v>
      </c>
      <c r="E41" s="5">
        <v>4.6648054480968402E-3</v>
      </c>
      <c r="F41" s="5">
        <v>39</v>
      </c>
      <c r="G41" s="5">
        <v>82.051282051282001</v>
      </c>
    </row>
    <row r="42" spans="1:7" x14ac:dyDescent="0.2">
      <c r="A42" s="5" t="str">
        <f t="shared" si="1"/>
        <v>+ SOD</v>
      </c>
      <c r="B42" s="5" t="s">
        <v>178</v>
      </c>
      <c r="C42" s="41" t="s">
        <v>149</v>
      </c>
      <c r="D42" s="42" t="s">
        <v>149</v>
      </c>
      <c r="E42" s="42" t="s">
        <v>149</v>
      </c>
      <c r="F42" s="42" t="s">
        <v>149</v>
      </c>
      <c r="G42" s="42" t="s">
        <v>149</v>
      </c>
    </row>
    <row r="43" spans="1:7" x14ac:dyDescent="0.2">
      <c r="A43" s="5" t="str">
        <f t="shared" si="1"/>
        <v>+ SOD</v>
      </c>
      <c r="B43" s="5" t="s">
        <v>34</v>
      </c>
      <c r="C43" s="5">
        <v>1.7676327618059401E-2</v>
      </c>
      <c r="D43" s="5">
        <v>1.8437363652838899E-2</v>
      </c>
      <c r="E43" s="5">
        <v>2.9523410027621098E-3</v>
      </c>
      <c r="F43" s="5">
        <v>39</v>
      </c>
      <c r="G43" s="5">
        <v>94.871794871794904</v>
      </c>
    </row>
    <row r="44" spans="1:7" x14ac:dyDescent="0.2">
      <c r="A44" s="5" t="str">
        <f t="shared" si="1"/>
        <v>+ SOD</v>
      </c>
      <c r="B44" s="5" t="s">
        <v>35</v>
      </c>
      <c r="C44" s="5">
        <v>1.7581547808002598E-2</v>
      </c>
      <c r="D44" s="5">
        <v>1.0305794340072699E-2</v>
      </c>
      <c r="E44" s="5">
        <v>1.6502478211707599E-3</v>
      </c>
      <c r="F44" s="5">
        <v>39</v>
      </c>
      <c r="G44" s="5">
        <v>100</v>
      </c>
    </row>
    <row r="45" spans="1:7" x14ac:dyDescent="0.2">
      <c r="A45" s="5" t="str">
        <f t="shared" si="1"/>
        <v>+ SOD</v>
      </c>
      <c r="B45" s="5" t="s">
        <v>36</v>
      </c>
      <c r="C45" s="5">
        <v>1.6569072849567001E-2</v>
      </c>
      <c r="D45" s="5">
        <v>1.1640807508476301E-2</v>
      </c>
      <c r="E45" s="5">
        <v>1.8640210151327E-3</v>
      </c>
      <c r="F45" s="5">
        <v>39</v>
      </c>
      <c r="G45" s="5">
        <v>100</v>
      </c>
    </row>
    <row r="46" spans="1:7" x14ac:dyDescent="0.2">
      <c r="A46" s="5" t="str">
        <f t="shared" si="1"/>
        <v>+ SOD</v>
      </c>
      <c r="B46" s="5" t="s">
        <v>31</v>
      </c>
      <c r="C46" s="5">
        <v>1.5202276483149601E-2</v>
      </c>
      <c r="D46" s="5">
        <v>1.6201372022212199E-2</v>
      </c>
      <c r="E46" s="5">
        <v>2.5942957910262301E-3</v>
      </c>
      <c r="F46" s="5">
        <v>39</v>
      </c>
      <c r="G46" s="5">
        <v>87.179487179487197</v>
      </c>
    </row>
    <row r="47" spans="1:7" x14ac:dyDescent="0.2">
      <c r="A47" s="5" t="str">
        <f t="shared" si="1"/>
        <v>+ SOD</v>
      </c>
      <c r="B47" s="5" t="s">
        <v>33</v>
      </c>
      <c r="C47" s="5">
        <v>1.5134617987463701E-2</v>
      </c>
      <c r="D47" s="5">
        <v>1.37165113563609E-2</v>
      </c>
      <c r="E47" s="5">
        <v>2.1963996401405902E-3</v>
      </c>
      <c r="F47" s="5">
        <v>39</v>
      </c>
      <c r="G47" s="5">
        <v>89.743589743589794</v>
      </c>
    </row>
    <row r="48" spans="1:7" x14ac:dyDescent="0.2">
      <c r="A48" s="5" t="str">
        <f t="shared" si="1"/>
        <v>+ SOD</v>
      </c>
      <c r="B48" s="5" t="s">
        <v>39</v>
      </c>
      <c r="C48" s="5">
        <v>1.3302912186482699E-2</v>
      </c>
      <c r="D48" s="5">
        <v>1.2803534730922401E-2</v>
      </c>
      <c r="E48" s="5">
        <v>2.0502063786419201E-3</v>
      </c>
      <c r="F48" s="5">
        <v>39</v>
      </c>
      <c r="G48" s="5">
        <v>89.743589743589794</v>
      </c>
    </row>
    <row r="49" spans="1:7" x14ac:dyDescent="0.2">
      <c r="A49" s="5" t="str">
        <f t="shared" si="1"/>
        <v>+ SOD</v>
      </c>
      <c r="B49" s="5" t="s">
        <v>49</v>
      </c>
      <c r="C49" s="5">
        <v>1.1586018401737799E-2</v>
      </c>
      <c r="D49" s="5">
        <v>5.1019173856607897E-2</v>
      </c>
      <c r="E49" s="5">
        <v>8.1696061183193901E-3</v>
      </c>
      <c r="F49" s="5">
        <v>39</v>
      </c>
      <c r="G49" s="5">
        <v>74.358974358974393</v>
      </c>
    </row>
    <row r="50" spans="1:7" x14ac:dyDescent="0.2">
      <c r="A50" s="5" t="str">
        <f t="shared" si="1"/>
        <v>+ SOD</v>
      </c>
      <c r="B50" s="5" t="s">
        <v>40</v>
      </c>
      <c r="C50" s="5">
        <v>1.1240660102098199E-2</v>
      </c>
      <c r="D50" s="5">
        <v>6.8711878708430296E-3</v>
      </c>
      <c r="E50" s="5">
        <v>1.100270628206E-3</v>
      </c>
      <c r="F50" s="5">
        <v>39</v>
      </c>
      <c r="G50" s="5">
        <v>94.871794871794904</v>
      </c>
    </row>
    <row r="51" spans="1:7" x14ac:dyDescent="0.2">
      <c r="A51" s="5" t="str">
        <f t="shared" si="1"/>
        <v>+ SOD</v>
      </c>
      <c r="B51" s="5" t="s">
        <v>37</v>
      </c>
      <c r="C51" s="5">
        <v>1.09772374029595E-2</v>
      </c>
      <c r="D51" s="5">
        <v>7.9990556081686402E-3</v>
      </c>
      <c r="E51" s="5">
        <v>1.2808740067202699E-3</v>
      </c>
      <c r="F51" s="5">
        <v>39</v>
      </c>
      <c r="G51" s="5">
        <v>87.179487179487197</v>
      </c>
    </row>
    <row r="52" spans="1:7" x14ac:dyDescent="0.2">
      <c r="A52" s="5" t="str">
        <f t="shared" si="1"/>
        <v>+ SOD</v>
      </c>
      <c r="B52" s="5" t="s">
        <v>44</v>
      </c>
      <c r="C52" s="5">
        <v>1.0700868158498E-2</v>
      </c>
      <c r="D52" s="5">
        <v>9.5890294852280008E-3</v>
      </c>
      <c r="E52" s="5">
        <v>1.5354735882520999E-3</v>
      </c>
      <c r="F52" s="5">
        <v>39</v>
      </c>
      <c r="G52" s="5">
        <v>94.871794871794904</v>
      </c>
    </row>
    <row r="53" spans="1:7" x14ac:dyDescent="0.2">
      <c r="A53" s="5" t="str">
        <f t="shared" si="1"/>
        <v>+ SOD</v>
      </c>
      <c r="B53" s="5" t="s">
        <v>53</v>
      </c>
      <c r="C53" s="5">
        <v>1.02796727777006E-2</v>
      </c>
      <c r="D53" s="5">
        <v>1.31007065606121E-2</v>
      </c>
      <c r="E53" s="5">
        <v>2.0977919550930102E-3</v>
      </c>
      <c r="F53" s="5">
        <v>39</v>
      </c>
      <c r="G53" s="5">
        <v>87.179487179487197</v>
      </c>
    </row>
    <row r="54" spans="1:7" x14ac:dyDescent="0.2">
      <c r="A54" s="5" t="str">
        <f t="shared" si="1"/>
        <v>+ SOD</v>
      </c>
      <c r="B54" s="5" t="s">
        <v>41</v>
      </c>
      <c r="C54" s="5">
        <v>9.32030592397666E-3</v>
      </c>
      <c r="D54" s="5">
        <v>6.8759590556669303E-3</v>
      </c>
      <c r="E54" s="5">
        <v>1.10103462922332E-3</v>
      </c>
      <c r="F54" s="5">
        <v>39</v>
      </c>
      <c r="G54" s="5">
        <v>89.743589743589794</v>
      </c>
    </row>
    <row r="55" spans="1:7" x14ac:dyDescent="0.2">
      <c r="A55" s="5" t="str">
        <f t="shared" si="1"/>
        <v>+ SOD</v>
      </c>
      <c r="B55" s="5" t="s">
        <v>45</v>
      </c>
      <c r="C55" s="5">
        <v>7.9234327171463208E-3</v>
      </c>
      <c r="D55" s="5">
        <v>7.7164401634619304E-3</v>
      </c>
      <c r="E55" s="5">
        <v>1.23561931732258E-3</v>
      </c>
      <c r="F55" s="5">
        <v>39</v>
      </c>
      <c r="G55" s="5">
        <v>89.743589743589794</v>
      </c>
    </row>
    <row r="56" spans="1:7" x14ac:dyDescent="0.2">
      <c r="A56" s="5" t="s">
        <v>69</v>
      </c>
      <c r="B56" s="5" t="s">
        <v>19</v>
      </c>
      <c r="C56" s="5">
        <v>8.5304258368290198E-2</v>
      </c>
      <c r="D56" s="5">
        <v>9.2397206611929197E-2</v>
      </c>
      <c r="E56" s="5">
        <v>2.4694192188343098E-2</v>
      </c>
      <c r="F56" s="5">
        <v>14</v>
      </c>
      <c r="G56" s="5">
        <v>100</v>
      </c>
    </row>
    <row r="57" spans="1:7" x14ac:dyDescent="0.2">
      <c r="A57" s="5" t="s">
        <v>69</v>
      </c>
      <c r="B57" s="5" t="s">
        <v>64</v>
      </c>
      <c r="C57" s="5">
        <v>4.36622594632253E-2</v>
      </c>
      <c r="D57" s="5">
        <v>6.5723173023990805E-2</v>
      </c>
      <c r="E57" s="5">
        <v>1.7565256844816898E-2</v>
      </c>
      <c r="F57" s="5">
        <v>14</v>
      </c>
      <c r="G57" s="5">
        <v>78.571428571428598</v>
      </c>
    </row>
    <row r="58" spans="1:7" x14ac:dyDescent="0.2">
      <c r="A58" s="5" t="s">
        <v>69</v>
      </c>
      <c r="B58" s="5" t="s">
        <v>22</v>
      </c>
      <c r="C58" s="5">
        <v>3.5743284522117398E-2</v>
      </c>
      <c r="D58" s="5">
        <v>3.3283650556304903E-2</v>
      </c>
      <c r="E58" s="5">
        <v>8.8954297830572005E-3</v>
      </c>
      <c r="F58" s="5">
        <v>14</v>
      </c>
      <c r="G58" s="5">
        <v>92.857142857142904</v>
      </c>
    </row>
    <row r="59" spans="1:7" x14ac:dyDescent="0.2">
      <c r="A59" s="5" t="s">
        <v>69</v>
      </c>
      <c r="B59" s="5" t="s">
        <v>57</v>
      </c>
      <c r="C59" s="5">
        <v>2.9015532361508899E-2</v>
      </c>
      <c r="D59" s="5">
        <v>4.078390208991E-2</v>
      </c>
      <c r="E59" s="5">
        <v>1.0899956322584101E-2</v>
      </c>
      <c r="F59" s="5">
        <v>14</v>
      </c>
      <c r="G59" s="5">
        <v>92.857142857142904</v>
      </c>
    </row>
    <row r="60" spans="1:7" x14ac:dyDescent="0.2">
      <c r="A60" s="5" t="s">
        <v>69</v>
      </c>
      <c r="B60" s="5" t="s">
        <v>53</v>
      </c>
      <c r="C60" s="5">
        <v>2.8792745312533501E-2</v>
      </c>
      <c r="D60" s="5">
        <v>3.2208278804663502E-2</v>
      </c>
      <c r="E60" s="5">
        <v>8.6080245931959998E-3</v>
      </c>
      <c r="F60" s="5">
        <v>14</v>
      </c>
      <c r="G60" s="5">
        <v>92.857142857142904</v>
      </c>
    </row>
    <row r="61" spans="1:7" x14ac:dyDescent="0.2">
      <c r="A61" s="5" t="s">
        <v>69</v>
      </c>
      <c r="B61" s="5" t="s">
        <v>23</v>
      </c>
      <c r="C61" s="5">
        <v>2.5093399059586002E-2</v>
      </c>
      <c r="D61" s="5">
        <v>1.7770071120742199E-2</v>
      </c>
      <c r="E61" s="5">
        <v>4.7492512766016603E-3</v>
      </c>
      <c r="F61" s="5">
        <v>14</v>
      </c>
      <c r="G61" s="5">
        <v>100</v>
      </c>
    </row>
    <row r="62" spans="1:7" x14ac:dyDescent="0.2">
      <c r="A62" s="5" t="s">
        <v>69</v>
      </c>
      <c r="B62" s="5" t="s">
        <v>20</v>
      </c>
      <c r="C62" s="5">
        <v>2.32765880405554E-2</v>
      </c>
      <c r="D62" s="5">
        <v>3.3663131327031297E-2</v>
      </c>
      <c r="E62" s="5">
        <v>8.9968502851234203E-3</v>
      </c>
      <c r="F62" s="5">
        <v>14</v>
      </c>
      <c r="G62" s="5">
        <v>92.857142857142904</v>
      </c>
    </row>
    <row r="63" spans="1:7" x14ac:dyDescent="0.2">
      <c r="A63" s="5" t="s">
        <v>69</v>
      </c>
      <c r="B63" s="5" t="s">
        <v>24</v>
      </c>
      <c r="C63" s="5">
        <v>2.1397188744750901E-2</v>
      </c>
      <c r="D63" s="5">
        <v>2.9268103475213102E-2</v>
      </c>
      <c r="E63" s="5">
        <v>7.8222296832068001E-3</v>
      </c>
      <c r="F63" s="5">
        <v>14</v>
      </c>
      <c r="G63" s="5">
        <v>92.857142857142904</v>
      </c>
    </row>
    <row r="64" spans="1:7" x14ac:dyDescent="0.2">
      <c r="A64" s="5" t="s">
        <v>69</v>
      </c>
      <c r="B64" s="5" t="s">
        <v>50</v>
      </c>
      <c r="C64" s="5">
        <v>2.0844827729089199E-2</v>
      </c>
      <c r="D64" s="5">
        <v>3.2643299596411497E-2</v>
      </c>
      <c r="E64" s="5">
        <v>8.7242887902562807E-3</v>
      </c>
      <c r="F64" s="5">
        <v>14</v>
      </c>
      <c r="G64" s="5">
        <v>85.714285714285694</v>
      </c>
    </row>
    <row r="65" spans="1:7" x14ac:dyDescent="0.2">
      <c r="A65" s="5" t="s">
        <v>69</v>
      </c>
      <c r="B65" s="5" t="s">
        <v>34</v>
      </c>
      <c r="C65" s="5">
        <v>2.0391095990945299E-2</v>
      </c>
      <c r="D65" s="5">
        <v>1.79587374125268E-2</v>
      </c>
      <c r="E65" s="5">
        <v>4.7996744640510201E-3</v>
      </c>
      <c r="F65" s="5">
        <v>14</v>
      </c>
      <c r="G65" s="5">
        <v>100</v>
      </c>
    </row>
    <row r="66" spans="1:7" x14ac:dyDescent="0.2">
      <c r="A66" s="5" t="s">
        <v>69</v>
      </c>
      <c r="B66" s="5" t="s">
        <v>21</v>
      </c>
      <c r="C66" s="5">
        <v>2.0289344012153598E-2</v>
      </c>
      <c r="D66" s="5">
        <v>2.1673774723344801E-2</v>
      </c>
      <c r="E66" s="5">
        <v>5.7925599494912496E-3</v>
      </c>
      <c r="F66" s="5">
        <v>14</v>
      </c>
      <c r="G66" s="5">
        <v>71.428571428571402</v>
      </c>
    </row>
    <row r="67" spans="1:7" x14ac:dyDescent="0.2">
      <c r="A67" s="5" t="s">
        <v>69</v>
      </c>
      <c r="B67" s="5" t="s">
        <v>32</v>
      </c>
      <c r="C67" s="5">
        <v>1.92888212647182E-2</v>
      </c>
      <c r="D67" s="5">
        <v>1.33140798346758E-2</v>
      </c>
      <c r="E67" s="5">
        <v>3.5583375115366199E-3</v>
      </c>
      <c r="F67" s="5">
        <v>14</v>
      </c>
      <c r="G67" s="5">
        <v>85.714285714285694</v>
      </c>
    </row>
    <row r="68" spans="1:7" x14ac:dyDescent="0.2">
      <c r="A68" s="5" t="s">
        <v>69</v>
      </c>
      <c r="B68" s="5" t="s">
        <v>38</v>
      </c>
      <c r="C68" s="5">
        <v>1.7020105979851399E-2</v>
      </c>
      <c r="D68" s="5">
        <v>2.4445578765646899E-2</v>
      </c>
      <c r="E68" s="5">
        <v>6.5333557401747802E-3</v>
      </c>
      <c r="F68" s="5">
        <v>14</v>
      </c>
      <c r="G68" s="5">
        <v>85.714285714285694</v>
      </c>
    </row>
    <row r="69" spans="1:7" x14ac:dyDescent="0.2">
      <c r="A69" s="5" t="s">
        <v>69</v>
      </c>
      <c r="B69" s="5" t="s">
        <v>29</v>
      </c>
      <c r="C69" s="5">
        <v>1.68660970431023E-2</v>
      </c>
      <c r="D69" s="5">
        <v>1.5309284043515101E-2</v>
      </c>
      <c r="E69" s="5">
        <v>4.0915782662599102E-3</v>
      </c>
      <c r="F69" s="5">
        <v>14</v>
      </c>
      <c r="G69" s="5">
        <v>85.714285714285694</v>
      </c>
    </row>
    <row r="70" spans="1:7" x14ac:dyDescent="0.2">
      <c r="A70" s="5" t="s">
        <v>69</v>
      </c>
      <c r="B70" s="5" t="s">
        <v>55</v>
      </c>
      <c r="C70" s="5">
        <v>1.6588109181636099E-2</v>
      </c>
      <c r="D70" s="5">
        <v>2.58788147499956E-2</v>
      </c>
      <c r="E70" s="5">
        <v>6.9164041693053997E-3</v>
      </c>
      <c r="F70" s="5">
        <v>14</v>
      </c>
      <c r="G70" s="5">
        <v>71.428571428571402</v>
      </c>
    </row>
    <row r="71" spans="1:7" x14ac:dyDescent="0.2">
      <c r="A71" s="5" t="s">
        <v>69</v>
      </c>
      <c r="B71" s="5" t="s">
        <v>43</v>
      </c>
      <c r="C71" s="5">
        <v>1.62587647273905E-2</v>
      </c>
      <c r="D71" s="5">
        <v>1.8074298461139199E-2</v>
      </c>
      <c r="E71" s="5">
        <v>4.8305594534198901E-3</v>
      </c>
      <c r="F71" s="5">
        <v>14</v>
      </c>
      <c r="G71" s="5">
        <v>92.857142857142904</v>
      </c>
    </row>
    <row r="72" spans="1:7" x14ac:dyDescent="0.2">
      <c r="A72" s="5" t="s">
        <v>69</v>
      </c>
      <c r="B72" s="5" t="s">
        <v>25</v>
      </c>
      <c r="C72" s="5">
        <v>1.5626815076185099E-2</v>
      </c>
      <c r="D72" s="5">
        <v>1.1521052554889799E-2</v>
      </c>
      <c r="E72" s="5">
        <v>3.0791308139581498E-3</v>
      </c>
      <c r="F72" s="5">
        <v>14</v>
      </c>
      <c r="G72" s="5">
        <v>92.857142857142904</v>
      </c>
    </row>
    <row r="73" spans="1:7" x14ac:dyDescent="0.2">
      <c r="A73" s="5" t="s">
        <v>69</v>
      </c>
      <c r="B73" s="5" t="s">
        <v>62</v>
      </c>
      <c r="C73" s="5">
        <v>1.5386526096182801E-2</v>
      </c>
      <c r="D73" s="5">
        <v>2.7031626833769098E-2</v>
      </c>
      <c r="E73" s="5">
        <v>7.2245061585063403E-3</v>
      </c>
      <c r="F73" s="5">
        <v>14</v>
      </c>
      <c r="G73" s="5">
        <v>64.285714285714306</v>
      </c>
    </row>
    <row r="74" spans="1:7" x14ac:dyDescent="0.2">
      <c r="A74" s="5" t="s">
        <v>69</v>
      </c>
      <c r="B74" s="5" t="s">
        <v>27</v>
      </c>
      <c r="C74" s="5">
        <v>1.51444430233543E-2</v>
      </c>
      <c r="D74" s="5">
        <v>1.52713776163147E-2</v>
      </c>
      <c r="E74" s="5">
        <v>4.0814473474498703E-3</v>
      </c>
      <c r="F74" s="5">
        <v>14</v>
      </c>
      <c r="G74" s="5">
        <v>78.571428571428598</v>
      </c>
    </row>
    <row r="75" spans="1:7" x14ac:dyDescent="0.2">
      <c r="A75" s="5" t="s">
        <v>69</v>
      </c>
      <c r="B75" s="5" t="s">
        <v>36</v>
      </c>
      <c r="C75" s="5">
        <v>1.5134821472301101E-2</v>
      </c>
      <c r="D75" s="5">
        <v>1.50711629680356E-2</v>
      </c>
      <c r="E75" s="5">
        <v>4.0279377319017299E-3</v>
      </c>
      <c r="F75" s="5">
        <v>14</v>
      </c>
      <c r="G75" s="5">
        <v>100</v>
      </c>
    </row>
    <row r="76" spans="1:7" x14ac:dyDescent="0.2">
      <c r="A76" s="5" t="s">
        <v>69</v>
      </c>
      <c r="B76" s="5" t="s">
        <v>61</v>
      </c>
      <c r="C76" s="5">
        <v>1.2312157173491701E-2</v>
      </c>
      <c r="D76" s="5">
        <v>1.1508577691794E-2</v>
      </c>
      <c r="E76" s="5">
        <v>3.07579676655448E-3</v>
      </c>
      <c r="F76" s="5">
        <v>14</v>
      </c>
      <c r="G76" s="5">
        <v>64.285714285714306</v>
      </c>
    </row>
    <row r="77" spans="1:7" x14ac:dyDescent="0.2">
      <c r="A77" s="5" t="s">
        <v>69</v>
      </c>
      <c r="B77" s="5" t="s">
        <v>30</v>
      </c>
      <c r="C77" s="5">
        <v>1.1920366707264599E-2</v>
      </c>
      <c r="D77" s="5">
        <v>1.32745387060822E-2</v>
      </c>
      <c r="E77" s="5">
        <v>3.5477697004020802E-3</v>
      </c>
      <c r="F77" s="5">
        <v>14</v>
      </c>
      <c r="G77" s="5">
        <v>85.714285714285694</v>
      </c>
    </row>
    <row r="78" spans="1:7" x14ac:dyDescent="0.2">
      <c r="A78" s="5" t="s">
        <v>69</v>
      </c>
      <c r="B78" s="5" t="s">
        <v>26</v>
      </c>
      <c r="C78" s="5">
        <v>1.18142145760999E-2</v>
      </c>
      <c r="D78" s="5">
        <v>1.09918538263871E-2</v>
      </c>
      <c r="E78" s="5">
        <v>2.9376965045600401E-3</v>
      </c>
      <c r="F78" s="5">
        <v>14</v>
      </c>
      <c r="G78" s="5">
        <v>85.714285714285694</v>
      </c>
    </row>
    <row r="79" spans="1:7" x14ac:dyDescent="0.2">
      <c r="A79" s="5" t="s">
        <v>69</v>
      </c>
      <c r="B79" s="5" t="s">
        <v>63</v>
      </c>
      <c r="C79" s="5">
        <v>1.18038480946622E-2</v>
      </c>
      <c r="D79" s="5">
        <v>1.07163288010812E-2</v>
      </c>
      <c r="E79" s="5">
        <v>2.8640593441188601E-3</v>
      </c>
      <c r="F79" s="5">
        <v>14</v>
      </c>
      <c r="G79" s="5">
        <v>71.428571428571402</v>
      </c>
    </row>
    <row r="80" spans="1:7" x14ac:dyDescent="0.2">
      <c r="A80" s="5" t="s">
        <v>69</v>
      </c>
      <c r="B80" s="5" t="s">
        <v>45</v>
      </c>
      <c r="C80" s="5">
        <v>1.1637662926456301E-2</v>
      </c>
      <c r="D80" s="5">
        <v>1.5115220000252E-2</v>
      </c>
      <c r="E80" s="5">
        <v>4.0397124690468699E-3</v>
      </c>
      <c r="F80" s="5">
        <v>14</v>
      </c>
      <c r="G80" s="5">
        <v>85.714285714285694</v>
      </c>
    </row>
    <row r="81" spans="1:7" x14ac:dyDescent="0.2">
      <c r="A81" s="5" t="s">
        <v>69</v>
      </c>
      <c r="B81" s="5" t="s">
        <v>28</v>
      </c>
      <c r="C81" s="5">
        <v>1.12322447465865E-2</v>
      </c>
      <c r="D81" s="5">
        <v>1.01607049286019E-2</v>
      </c>
      <c r="E81" s="5">
        <v>2.7155626179238401E-3</v>
      </c>
      <c r="F81" s="5">
        <v>14</v>
      </c>
      <c r="G81" s="5">
        <v>78.571428571428598</v>
      </c>
    </row>
    <row r="82" spans="1:7" x14ac:dyDescent="0.2">
      <c r="A82" s="5" t="s">
        <v>69</v>
      </c>
      <c r="B82" s="5" t="s">
        <v>40</v>
      </c>
      <c r="C82" s="5">
        <v>1.0683082299831E-2</v>
      </c>
      <c r="D82" s="5">
        <v>9.1764378801581208E-3</v>
      </c>
      <c r="E82" s="5">
        <v>2.4525061841832699E-3</v>
      </c>
      <c r="F82" s="5">
        <v>14</v>
      </c>
      <c r="G82" s="5">
        <v>92.857142857142904</v>
      </c>
    </row>
    <row r="83" spans="1:7" x14ac:dyDescent="0.2">
      <c r="A83" s="5" t="s">
        <v>69</v>
      </c>
      <c r="B83" s="5" t="s">
        <v>41</v>
      </c>
      <c r="C83" s="5">
        <v>1.0388692639281201E-2</v>
      </c>
      <c r="D83" s="5">
        <v>1.2856305606732701E-2</v>
      </c>
      <c r="E83" s="5">
        <v>3.4359922028610501E-3</v>
      </c>
      <c r="F83" s="5">
        <v>14</v>
      </c>
      <c r="G83" s="5">
        <v>78.571428571428598</v>
      </c>
    </row>
    <row r="84" spans="1:7" x14ac:dyDescent="0.2">
      <c r="A84" s="5" t="s">
        <v>69</v>
      </c>
      <c r="B84" s="5" t="s">
        <v>60</v>
      </c>
      <c r="C84" s="5">
        <v>1.03883661513436E-2</v>
      </c>
      <c r="D84" s="5">
        <v>1.9013698894748701E-2</v>
      </c>
      <c r="E84" s="5">
        <v>5.0816247799594398E-3</v>
      </c>
      <c r="F84" s="5">
        <v>14</v>
      </c>
      <c r="G84" s="5">
        <v>64.285714285714306</v>
      </c>
    </row>
    <row r="85" spans="1:7" x14ac:dyDescent="0.2">
      <c r="A85" s="5" t="s">
        <v>69</v>
      </c>
      <c r="B85" s="5" t="s">
        <v>178</v>
      </c>
      <c r="C85" s="41" t="s">
        <v>149</v>
      </c>
      <c r="D85" s="42" t="s">
        <v>149</v>
      </c>
      <c r="E85" s="42" t="s">
        <v>149</v>
      </c>
      <c r="F85" s="42" t="s">
        <v>149</v>
      </c>
      <c r="G85" s="42" t="s">
        <v>149</v>
      </c>
    </row>
    <row r="86" spans="1:7" x14ac:dyDescent="0.2">
      <c r="A86" s="5" t="s">
        <v>69</v>
      </c>
      <c r="B86" s="5" t="s">
        <v>33</v>
      </c>
      <c r="C86" s="5">
        <v>9.4305673021620601E-3</v>
      </c>
      <c r="D86" s="5">
        <v>1.04627836065021E-2</v>
      </c>
      <c r="E86" s="5">
        <v>2.7962965405347001E-3</v>
      </c>
      <c r="F86" s="5">
        <v>14</v>
      </c>
      <c r="G86" s="5">
        <v>71.428571428571402</v>
      </c>
    </row>
    <row r="87" spans="1:7" x14ac:dyDescent="0.2">
      <c r="A87" s="5" t="s">
        <v>69</v>
      </c>
      <c r="B87" s="5" t="s">
        <v>35</v>
      </c>
      <c r="C87" s="5">
        <v>8.2083123126888702E-3</v>
      </c>
      <c r="D87" s="5">
        <v>7.9715743928223601E-3</v>
      </c>
      <c r="E87" s="5">
        <v>2.1304928722229799E-3</v>
      </c>
      <c r="F87" s="5">
        <v>14</v>
      </c>
      <c r="G87" s="5">
        <v>78.571428571428598</v>
      </c>
    </row>
    <row r="88" spans="1:7" x14ac:dyDescent="0.2">
      <c r="A88" s="5" t="s">
        <v>69</v>
      </c>
      <c r="B88" s="5" t="s">
        <v>49</v>
      </c>
      <c r="C88" s="5">
        <v>7.6310417157694696E-3</v>
      </c>
      <c r="D88" s="5">
        <v>9.6789873833491805E-3</v>
      </c>
      <c r="E88" s="5">
        <v>2.5868181885285902E-3</v>
      </c>
      <c r="F88" s="5">
        <v>14</v>
      </c>
      <c r="G88" s="5">
        <v>85.714285714285694</v>
      </c>
    </row>
    <row r="89" spans="1:7" x14ac:dyDescent="0.2">
      <c r="A89" s="5" t="s">
        <v>69</v>
      </c>
      <c r="B89" s="5" t="s">
        <v>44</v>
      </c>
      <c r="C89" s="5">
        <v>7.5365293539104003E-3</v>
      </c>
      <c r="D89" s="5">
        <v>6.1563409519980704E-3</v>
      </c>
      <c r="E89" s="5">
        <v>1.6453513284673199E-3</v>
      </c>
      <c r="F89" s="5">
        <v>14</v>
      </c>
      <c r="G89" s="5">
        <v>85.714285714285694</v>
      </c>
    </row>
    <row r="90" spans="1:7" x14ac:dyDescent="0.2">
      <c r="A90" s="5" t="s">
        <v>69</v>
      </c>
      <c r="B90" s="5" t="s">
        <v>37</v>
      </c>
      <c r="C90" s="5">
        <v>6.7688136899116003E-3</v>
      </c>
      <c r="D90" s="5">
        <v>7.7488028036947496E-3</v>
      </c>
      <c r="E90" s="5">
        <v>2.07095466064993E-3</v>
      </c>
      <c r="F90" s="5">
        <v>14</v>
      </c>
      <c r="G90" s="5">
        <v>64.285714285714306</v>
      </c>
    </row>
    <row r="92" spans="1:7" ht="18" x14ac:dyDescent="0.2">
      <c r="A92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1705-86AE-B34D-A852-C4744F60D698}">
  <dimension ref="A1:G20"/>
  <sheetViews>
    <sheetView zoomScaleNormal="100" workbookViewId="0">
      <selection activeCell="A20" sqref="A20"/>
    </sheetView>
  </sheetViews>
  <sheetFormatPr baseColWidth="10" defaultRowHeight="16" x14ac:dyDescent="0.2"/>
  <cols>
    <col min="1" max="1" width="18.33203125" customWidth="1"/>
    <col min="2" max="2" width="21.1640625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</cols>
  <sheetData>
    <row r="1" spans="1:7" ht="17" thickBot="1" x14ac:dyDescent="0.25">
      <c r="A1" s="35" t="s">
        <v>150</v>
      </c>
      <c r="B1" s="6" t="s">
        <v>7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70</v>
      </c>
      <c r="C2" s="5">
        <v>0.65584880183400796</v>
      </c>
      <c r="D2" s="5">
        <v>0.15116934192092901</v>
      </c>
      <c r="E2" s="5">
        <v>2.2534994976606999E-2</v>
      </c>
      <c r="F2" s="5">
        <v>45</v>
      </c>
      <c r="G2" s="5">
        <v>100</v>
      </c>
    </row>
    <row r="3" spans="1:7" x14ac:dyDescent="0.2">
      <c r="A3" s="5" t="str">
        <f t="shared" ref="A3:A6" si="0">"- SOD"</f>
        <v>- SOD</v>
      </c>
      <c r="B3" s="5" t="s">
        <v>71</v>
      </c>
      <c r="C3" s="5">
        <v>0.15302629295472001</v>
      </c>
      <c r="D3" s="5">
        <v>8.3158863210370901E-2</v>
      </c>
      <c r="E3" s="5">
        <v>1.23965914046664E-2</v>
      </c>
      <c r="F3" s="5">
        <v>45</v>
      </c>
      <c r="G3" s="5">
        <v>100</v>
      </c>
    </row>
    <row r="4" spans="1:7" x14ac:dyDescent="0.2">
      <c r="A4" s="5" t="str">
        <f t="shared" si="0"/>
        <v>- SOD</v>
      </c>
      <c r="B4" s="5" t="s">
        <v>72</v>
      </c>
      <c r="C4" s="5">
        <v>0.13995946149226701</v>
      </c>
      <c r="D4" s="5">
        <v>0.10603801965252101</v>
      </c>
      <c r="E4" s="5">
        <v>1.5807214676166401E-2</v>
      </c>
      <c r="F4" s="5">
        <v>45</v>
      </c>
      <c r="G4" s="5">
        <v>100</v>
      </c>
    </row>
    <row r="5" spans="1:7" x14ac:dyDescent="0.2">
      <c r="A5" s="5" t="str">
        <f t="shared" si="0"/>
        <v>- SOD</v>
      </c>
      <c r="B5" s="5" t="s">
        <v>73</v>
      </c>
      <c r="C5" s="5">
        <v>3.5027710865896199E-2</v>
      </c>
      <c r="D5" s="5">
        <v>2.5253181240267899E-2</v>
      </c>
      <c r="E5" s="5">
        <v>3.7645219934241002E-3</v>
      </c>
      <c r="F5" s="5">
        <v>45</v>
      </c>
      <c r="G5" s="5">
        <v>100</v>
      </c>
    </row>
    <row r="6" spans="1:7" x14ac:dyDescent="0.2">
      <c r="A6" s="5" t="str">
        <f t="shared" si="0"/>
        <v>- SOD</v>
      </c>
      <c r="B6" s="5" t="s">
        <v>178</v>
      </c>
      <c r="C6" s="41" t="s">
        <v>149</v>
      </c>
      <c r="D6" s="42" t="s">
        <v>149</v>
      </c>
      <c r="E6" s="42" t="s">
        <v>149</v>
      </c>
      <c r="F6" s="42" t="s">
        <v>149</v>
      </c>
      <c r="G6" s="42" t="s">
        <v>149</v>
      </c>
    </row>
    <row r="7" spans="1:7" x14ac:dyDescent="0.2">
      <c r="A7" s="5" t="str">
        <f>"+ SOD"</f>
        <v>+ SOD</v>
      </c>
      <c r="B7" s="5" t="s">
        <v>70</v>
      </c>
      <c r="C7" s="5">
        <v>0.55318879832159695</v>
      </c>
      <c r="D7" s="5">
        <v>0.16206982487926799</v>
      </c>
      <c r="E7" s="5">
        <v>2.5951941845430999E-2</v>
      </c>
      <c r="F7" s="5">
        <v>39</v>
      </c>
      <c r="G7" s="5">
        <v>100</v>
      </c>
    </row>
    <row r="8" spans="1:7" x14ac:dyDescent="0.2">
      <c r="A8" s="5" t="str">
        <f t="shared" ref="A8:A12" si="1">"+ SOD"</f>
        <v>+ SOD</v>
      </c>
      <c r="B8" s="5" t="s">
        <v>71</v>
      </c>
      <c r="C8" s="5">
        <v>0.26337350615362598</v>
      </c>
      <c r="D8" s="5">
        <v>0.128287998729741</v>
      </c>
      <c r="E8" s="5">
        <v>2.0542520391942699E-2</v>
      </c>
      <c r="F8" s="5">
        <v>39</v>
      </c>
      <c r="G8" s="5">
        <v>100</v>
      </c>
    </row>
    <row r="9" spans="1:7" x14ac:dyDescent="0.2">
      <c r="A9" s="5" t="str">
        <f t="shared" si="1"/>
        <v>+ SOD</v>
      </c>
      <c r="B9" s="5" t="s">
        <v>72</v>
      </c>
      <c r="C9" s="5">
        <v>0.100929537561064</v>
      </c>
      <c r="D9" s="5">
        <v>9.0796762226998701E-2</v>
      </c>
      <c r="E9" s="5">
        <v>1.4539117906888799E-2</v>
      </c>
      <c r="F9" s="5">
        <v>39</v>
      </c>
      <c r="G9" s="5">
        <v>100</v>
      </c>
    </row>
    <row r="10" spans="1:7" x14ac:dyDescent="0.2">
      <c r="A10" s="5" t="str">
        <f t="shared" si="1"/>
        <v>+ SOD</v>
      </c>
      <c r="B10" s="5" t="s">
        <v>73</v>
      </c>
      <c r="C10" s="5">
        <v>5.5567123252208701E-2</v>
      </c>
      <c r="D10" s="5">
        <v>5.6290147750378897E-2</v>
      </c>
      <c r="E10" s="5">
        <v>9.0136374366837496E-3</v>
      </c>
      <c r="F10" s="5">
        <v>39</v>
      </c>
      <c r="G10" s="5">
        <v>100</v>
      </c>
    </row>
    <row r="11" spans="1:7" x14ac:dyDescent="0.2">
      <c r="A11" s="5" t="str">
        <f t="shared" si="1"/>
        <v>+ SOD</v>
      </c>
      <c r="B11" s="5" t="s">
        <v>74</v>
      </c>
      <c r="C11" s="5">
        <v>1.7140675634418401E-2</v>
      </c>
      <c r="D11" s="5">
        <v>1.9605586029713601E-2</v>
      </c>
      <c r="E11" s="5">
        <v>3.1394062952048401E-3</v>
      </c>
      <c r="F11" s="5">
        <v>39</v>
      </c>
      <c r="G11" s="5">
        <v>100</v>
      </c>
    </row>
    <row r="12" spans="1:7" x14ac:dyDescent="0.2">
      <c r="A12" s="5" t="str">
        <f t="shared" si="1"/>
        <v>+ SOD</v>
      </c>
      <c r="B12" s="5" t="s">
        <v>178</v>
      </c>
      <c r="C12" s="41" t="s">
        <v>149</v>
      </c>
      <c r="D12" s="42" t="s">
        <v>149</v>
      </c>
      <c r="E12" s="42" t="s">
        <v>149</v>
      </c>
      <c r="F12" s="42" t="s">
        <v>149</v>
      </c>
      <c r="G12" s="42" t="s">
        <v>149</v>
      </c>
    </row>
    <row r="13" spans="1:7" x14ac:dyDescent="0.2">
      <c r="A13" s="5" t="s">
        <v>69</v>
      </c>
      <c r="B13" s="5" t="s">
        <v>71</v>
      </c>
      <c r="C13" s="5">
        <v>0.39539386606886301</v>
      </c>
      <c r="D13" s="5">
        <v>0.231767423568736</v>
      </c>
      <c r="E13" s="5">
        <v>6.1942449457823401E-2</v>
      </c>
      <c r="F13" s="5">
        <v>14</v>
      </c>
      <c r="G13" s="5">
        <v>100</v>
      </c>
    </row>
    <row r="14" spans="1:7" x14ac:dyDescent="0.2">
      <c r="A14" s="5" t="s">
        <v>69</v>
      </c>
      <c r="B14" s="5" t="s">
        <v>70</v>
      </c>
      <c r="C14" s="5">
        <v>0.357849793657607</v>
      </c>
      <c r="D14" s="5">
        <v>0.19168788125283701</v>
      </c>
      <c r="E14" s="5">
        <v>5.1230741203194402E-2</v>
      </c>
      <c r="F14" s="5">
        <v>14</v>
      </c>
      <c r="G14" s="5">
        <v>100</v>
      </c>
    </row>
    <row r="15" spans="1:7" x14ac:dyDescent="0.2">
      <c r="A15" s="5" t="s">
        <v>69</v>
      </c>
      <c r="B15" s="5" t="s">
        <v>73</v>
      </c>
      <c r="C15" s="5">
        <v>0.107815022929294</v>
      </c>
      <c r="D15" s="5">
        <v>0.110945136526588</v>
      </c>
      <c r="E15" s="5">
        <v>2.9651334972239402E-2</v>
      </c>
      <c r="F15" s="5">
        <v>14</v>
      </c>
      <c r="G15" s="5">
        <v>100</v>
      </c>
    </row>
    <row r="16" spans="1:7" x14ac:dyDescent="0.2">
      <c r="A16" s="5" t="s">
        <v>69</v>
      </c>
      <c r="B16" s="5" t="s">
        <v>72</v>
      </c>
      <c r="C16" s="5">
        <v>8.9170231934813798E-2</v>
      </c>
      <c r="D16" s="5">
        <v>0.13010332192662799</v>
      </c>
      <c r="E16" s="5">
        <v>3.4771575395042498E-2</v>
      </c>
      <c r="F16" s="5">
        <v>14</v>
      </c>
      <c r="G16" s="5">
        <v>100</v>
      </c>
    </row>
    <row r="17" spans="1:7" x14ac:dyDescent="0.2">
      <c r="A17" s="5" t="s">
        <v>69</v>
      </c>
      <c r="B17" s="5" t="s">
        <v>75</v>
      </c>
      <c r="C17" s="5">
        <v>2.2337510267822502E-2</v>
      </c>
      <c r="D17" s="5">
        <v>6.2855466896311094E-2</v>
      </c>
      <c r="E17" s="5">
        <v>1.6798830143693402E-2</v>
      </c>
      <c r="F17" s="5">
        <v>14</v>
      </c>
      <c r="G17" s="5">
        <v>71.428571428571402</v>
      </c>
    </row>
    <row r="18" spans="1:7" x14ac:dyDescent="0.2">
      <c r="A18" s="5" t="s">
        <v>69</v>
      </c>
      <c r="B18" s="5" t="s">
        <v>74</v>
      </c>
      <c r="C18" s="5">
        <v>1.5723687965933899E-2</v>
      </c>
      <c r="D18" s="5">
        <v>1.8642262502686999E-2</v>
      </c>
      <c r="E18" s="5">
        <v>4.9823542285255401E-3</v>
      </c>
      <c r="F18" s="5">
        <v>14</v>
      </c>
      <c r="G18" s="5">
        <v>100</v>
      </c>
    </row>
    <row r="20" spans="1:7" ht="18" x14ac:dyDescent="0.2">
      <c r="A20" s="1" t="s">
        <v>216</v>
      </c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B8E6-1F33-B649-A234-85B3CD01554E}">
  <dimension ref="A1:K73"/>
  <sheetViews>
    <sheetView topLeftCell="A46" workbookViewId="0">
      <selection activeCell="A73" sqref="A73"/>
    </sheetView>
  </sheetViews>
  <sheetFormatPr baseColWidth="10" defaultRowHeight="16" x14ac:dyDescent="0.2"/>
  <cols>
    <col min="1" max="1" width="17.6640625" style="2" bestFit="1" customWidth="1"/>
    <col min="2" max="2" width="45.1640625" style="2" bestFit="1" customWidth="1"/>
    <col min="3" max="3" width="27.83203125" style="2" bestFit="1" customWidth="1"/>
    <col min="4" max="4" width="20.1640625" style="2" bestFit="1" customWidth="1"/>
    <col min="5" max="5" width="16" style="2" bestFit="1" customWidth="1"/>
    <col min="6" max="6" width="13.5" style="2" bestFit="1" customWidth="1"/>
    <col min="7" max="7" width="20.83203125" style="2" bestFit="1" customWidth="1"/>
    <col min="8" max="11" width="10.83203125" style="2"/>
  </cols>
  <sheetData>
    <row r="1" spans="1:7" ht="17" thickBot="1" x14ac:dyDescent="0.25">
      <c r="A1" s="35" t="s">
        <v>150</v>
      </c>
      <c r="B1" s="6" t="s">
        <v>18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spans="1:7" x14ac:dyDescent="0.2">
      <c r="A2" s="5" t="str">
        <f>"- SOD"</f>
        <v>- SOD</v>
      </c>
      <c r="B2" s="5" t="s">
        <v>76</v>
      </c>
      <c r="C2" s="5">
        <v>0.17844713606024901</v>
      </c>
      <c r="D2" s="5">
        <v>0.21199396464439599</v>
      </c>
      <c r="E2" s="5">
        <v>3.1602194384303797E-2</v>
      </c>
      <c r="F2" s="5">
        <v>45</v>
      </c>
      <c r="G2" s="5">
        <v>97.7777777777778</v>
      </c>
    </row>
    <row r="3" spans="1:7" x14ac:dyDescent="0.2">
      <c r="A3" s="5" t="str">
        <f t="shared" ref="A3:A25" si="0">"- SOD"</f>
        <v>- SOD</v>
      </c>
      <c r="B3" s="5" t="s">
        <v>77</v>
      </c>
      <c r="C3" s="5">
        <v>7.0502660553974306E-2</v>
      </c>
      <c r="D3" s="5">
        <v>7.9633659518746E-2</v>
      </c>
      <c r="E3" s="5">
        <v>1.1871085065399301E-2</v>
      </c>
      <c r="F3" s="5">
        <v>45</v>
      </c>
      <c r="G3" s="5">
        <v>100</v>
      </c>
    </row>
    <row r="4" spans="1:7" x14ac:dyDescent="0.2">
      <c r="A4" s="5" t="str">
        <f t="shared" si="0"/>
        <v>- SOD</v>
      </c>
      <c r="B4" s="5" t="s">
        <v>78</v>
      </c>
      <c r="C4" s="5">
        <v>6.0747824482811998E-2</v>
      </c>
      <c r="D4" s="5">
        <v>4.8602124668588001E-2</v>
      </c>
      <c r="E4" s="5">
        <v>7.2451769739921403E-3</v>
      </c>
      <c r="F4" s="5">
        <v>45</v>
      </c>
      <c r="G4" s="5">
        <v>100</v>
      </c>
    </row>
    <row r="5" spans="1:7" x14ac:dyDescent="0.2">
      <c r="A5" s="5" t="str">
        <f t="shared" si="0"/>
        <v>- SOD</v>
      </c>
      <c r="B5" s="5" t="s">
        <v>79</v>
      </c>
      <c r="C5" s="5">
        <v>4.9728629521598497E-2</v>
      </c>
      <c r="D5" s="5">
        <v>3.9561546516799599E-2</v>
      </c>
      <c r="E5" s="5">
        <v>5.8974871537722604E-3</v>
      </c>
      <c r="F5" s="5">
        <v>45</v>
      </c>
      <c r="G5" s="5">
        <v>100</v>
      </c>
    </row>
    <row r="6" spans="1:7" x14ac:dyDescent="0.2">
      <c r="A6" s="5" t="str">
        <f t="shared" si="0"/>
        <v>- SOD</v>
      </c>
      <c r="B6" s="5" t="s">
        <v>81</v>
      </c>
      <c r="C6" s="5">
        <v>4.5351902970777597E-2</v>
      </c>
      <c r="D6" s="5">
        <v>7.4780599642245996E-2</v>
      </c>
      <c r="E6" s="5">
        <v>1.11476336132172E-2</v>
      </c>
      <c r="F6" s="5">
        <v>45</v>
      </c>
      <c r="G6" s="5">
        <v>91.1111111111111</v>
      </c>
    </row>
    <row r="7" spans="1:7" x14ac:dyDescent="0.2">
      <c r="A7" s="5" t="str">
        <f t="shared" si="0"/>
        <v>- SOD</v>
      </c>
      <c r="B7" s="5" t="s">
        <v>80</v>
      </c>
      <c r="C7" s="5">
        <v>4.05499999446726E-2</v>
      </c>
      <c r="D7" s="5">
        <v>0.12386538758339501</v>
      </c>
      <c r="E7" s="5">
        <v>1.8464761779721901E-2</v>
      </c>
      <c r="F7" s="5">
        <v>45</v>
      </c>
      <c r="G7" s="5">
        <v>97.7777777777778</v>
      </c>
    </row>
    <row r="8" spans="1:7" x14ac:dyDescent="0.2">
      <c r="A8" s="5" t="str">
        <f t="shared" si="0"/>
        <v>- SOD</v>
      </c>
      <c r="B8" s="5" t="s">
        <v>82</v>
      </c>
      <c r="C8" s="5">
        <v>3.6687767378331897E-2</v>
      </c>
      <c r="D8" s="5">
        <v>9.3917428642924003E-2</v>
      </c>
      <c r="E8" s="5">
        <v>1.4000383647837599E-2</v>
      </c>
      <c r="F8" s="5">
        <v>45</v>
      </c>
      <c r="G8" s="5">
        <v>55.5555555555556</v>
      </c>
    </row>
    <row r="9" spans="1:7" x14ac:dyDescent="0.2">
      <c r="A9" s="5" t="str">
        <f t="shared" si="0"/>
        <v>- SOD</v>
      </c>
      <c r="B9" s="5" t="s">
        <v>85</v>
      </c>
      <c r="C9" s="5">
        <v>3.6619687158252999E-2</v>
      </c>
      <c r="D9" s="5">
        <v>7.1464024385717098E-2</v>
      </c>
      <c r="E9" s="5">
        <v>1.0653227764811099E-2</v>
      </c>
      <c r="F9" s="5">
        <v>45</v>
      </c>
      <c r="G9" s="5">
        <v>82.2222222222222</v>
      </c>
    </row>
    <row r="10" spans="1:7" x14ac:dyDescent="0.2">
      <c r="A10" s="5" t="str">
        <f t="shared" si="0"/>
        <v>- SOD</v>
      </c>
      <c r="B10" s="5" t="s">
        <v>83</v>
      </c>
      <c r="C10" s="5">
        <v>3.56377251244719E-2</v>
      </c>
      <c r="D10" s="5">
        <v>2.7171365548576E-2</v>
      </c>
      <c r="E10" s="5">
        <v>4.0504680272074496E-3</v>
      </c>
      <c r="F10" s="5">
        <v>45</v>
      </c>
      <c r="G10" s="5">
        <v>97.7777777777778</v>
      </c>
    </row>
    <row r="11" spans="1:7" x14ac:dyDescent="0.2">
      <c r="A11" s="5" t="str">
        <f t="shared" si="0"/>
        <v>- SOD</v>
      </c>
      <c r="B11" s="5" t="s">
        <v>84</v>
      </c>
      <c r="C11" s="5">
        <v>3.4202514609336002E-2</v>
      </c>
      <c r="D11" s="5">
        <v>3.5017778597238897E-2</v>
      </c>
      <c r="E11" s="5">
        <v>5.2201422242975698E-3</v>
      </c>
      <c r="F11" s="5">
        <v>45</v>
      </c>
      <c r="G11" s="5">
        <v>100</v>
      </c>
    </row>
    <row r="12" spans="1:7" x14ac:dyDescent="0.2">
      <c r="A12" s="5" t="str">
        <f t="shared" si="0"/>
        <v>- SOD</v>
      </c>
      <c r="B12" s="5" t="s">
        <v>86</v>
      </c>
      <c r="C12" s="5">
        <v>2.6654915831246101E-2</v>
      </c>
      <c r="D12" s="5">
        <v>2.55939498410062E-2</v>
      </c>
      <c r="E12" s="5">
        <v>3.8153207771473201E-3</v>
      </c>
      <c r="F12" s="5">
        <v>45</v>
      </c>
      <c r="G12" s="5">
        <v>100</v>
      </c>
    </row>
    <row r="13" spans="1:7" x14ac:dyDescent="0.2">
      <c r="A13" s="5" t="str">
        <f t="shared" si="0"/>
        <v>- SOD</v>
      </c>
      <c r="B13" s="5" t="s">
        <v>178</v>
      </c>
      <c r="C13" s="41" t="s">
        <v>149</v>
      </c>
      <c r="D13" s="42" t="s">
        <v>149</v>
      </c>
      <c r="E13" s="42" t="s">
        <v>149</v>
      </c>
      <c r="F13" s="42" t="s">
        <v>149</v>
      </c>
      <c r="G13" s="42" t="s">
        <v>149</v>
      </c>
    </row>
    <row r="14" spans="1:7" x14ac:dyDescent="0.2">
      <c r="A14" s="5" t="str">
        <f t="shared" si="0"/>
        <v>- SOD</v>
      </c>
      <c r="B14" s="5" t="s">
        <v>87</v>
      </c>
      <c r="C14" s="5">
        <v>2.2835638278336099E-2</v>
      </c>
      <c r="D14" s="5">
        <v>4.4353892577908498E-2</v>
      </c>
      <c r="E14" s="5">
        <v>6.6118879247284504E-3</v>
      </c>
      <c r="F14" s="5">
        <v>45</v>
      </c>
      <c r="G14" s="5">
        <v>80</v>
      </c>
    </row>
    <row r="15" spans="1:7" x14ac:dyDescent="0.2">
      <c r="A15" s="5" t="str">
        <f t="shared" si="0"/>
        <v>- SOD</v>
      </c>
      <c r="B15" s="5" t="s">
        <v>95</v>
      </c>
      <c r="C15" s="5">
        <v>1.7318108423328201E-2</v>
      </c>
      <c r="D15" s="5">
        <v>0.116008218672564</v>
      </c>
      <c r="E15" s="5">
        <v>1.7293484193367601E-2</v>
      </c>
      <c r="F15" s="5">
        <v>45</v>
      </c>
      <c r="G15" s="5">
        <v>8.8888888888888893</v>
      </c>
    </row>
    <row r="16" spans="1:7" x14ac:dyDescent="0.2">
      <c r="A16" s="5" t="str">
        <f t="shared" si="0"/>
        <v>- SOD</v>
      </c>
      <c r="B16" s="5" t="s">
        <v>89</v>
      </c>
      <c r="C16" s="5">
        <v>1.47596966699914E-2</v>
      </c>
      <c r="D16" s="5">
        <v>3.5935728501033999E-2</v>
      </c>
      <c r="E16" s="5">
        <v>5.35698211661924E-3</v>
      </c>
      <c r="F16" s="5">
        <v>45</v>
      </c>
      <c r="G16" s="5">
        <v>48.8888888888889</v>
      </c>
    </row>
    <row r="17" spans="1:7" x14ac:dyDescent="0.2">
      <c r="A17" s="5" t="str">
        <f t="shared" si="0"/>
        <v>- SOD</v>
      </c>
      <c r="B17" s="5" t="s">
        <v>88</v>
      </c>
      <c r="C17" s="5">
        <v>1.4586842995390399E-2</v>
      </c>
      <c r="D17" s="5">
        <v>2.6594216221867101E-2</v>
      </c>
      <c r="E17" s="5">
        <v>3.9644316853615002E-3</v>
      </c>
      <c r="F17" s="5">
        <v>45</v>
      </c>
      <c r="G17" s="5">
        <v>100</v>
      </c>
    </row>
    <row r="18" spans="1:7" x14ac:dyDescent="0.2">
      <c r="A18" s="5" t="str">
        <f t="shared" si="0"/>
        <v>- SOD</v>
      </c>
      <c r="B18" s="5" t="s">
        <v>90</v>
      </c>
      <c r="C18" s="5">
        <v>1.44488545806112E-2</v>
      </c>
      <c r="D18" s="5">
        <v>1.3929001439162699E-2</v>
      </c>
      <c r="E18" s="5">
        <v>2.0764129384440201E-3</v>
      </c>
      <c r="F18" s="5">
        <v>45</v>
      </c>
      <c r="G18" s="5">
        <v>100</v>
      </c>
    </row>
    <row r="19" spans="1:7" x14ac:dyDescent="0.2">
      <c r="A19" s="5" t="str">
        <f t="shared" si="0"/>
        <v>- SOD</v>
      </c>
      <c r="B19" s="5" t="s">
        <v>93</v>
      </c>
      <c r="C19" s="5">
        <v>1.3374653670984501E-2</v>
      </c>
      <c r="D19" s="5">
        <v>2.40195622104372E-2</v>
      </c>
      <c r="E19" s="5">
        <v>3.58062492615484E-3</v>
      </c>
      <c r="F19" s="5">
        <v>45</v>
      </c>
      <c r="G19" s="5">
        <v>97.7777777777778</v>
      </c>
    </row>
    <row r="20" spans="1:7" x14ac:dyDescent="0.2">
      <c r="A20" s="5" t="str">
        <f t="shared" si="0"/>
        <v>- SOD</v>
      </c>
      <c r="B20" s="5" t="s">
        <v>91</v>
      </c>
      <c r="C20" s="5">
        <v>1.26941399671385E-2</v>
      </c>
      <c r="D20" s="5">
        <v>2.6811680670975599E-2</v>
      </c>
      <c r="E20" s="5">
        <v>3.9968493714212299E-3</v>
      </c>
      <c r="F20" s="5">
        <v>45</v>
      </c>
      <c r="G20" s="5">
        <v>80</v>
      </c>
    </row>
    <row r="21" spans="1:7" x14ac:dyDescent="0.2">
      <c r="A21" s="5" t="str">
        <f t="shared" si="0"/>
        <v>- SOD</v>
      </c>
      <c r="B21" s="5" t="s">
        <v>92</v>
      </c>
      <c r="C21" s="5">
        <v>1.20739631260477E-2</v>
      </c>
      <c r="D21" s="5">
        <v>1.25617267181497E-2</v>
      </c>
      <c r="E21" s="5">
        <v>1.8725916571038701E-3</v>
      </c>
      <c r="F21" s="5">
        <v>45</v>
      </c>
      <c r="G21" s="5">
        <v>97.7777777777778</v>
      </c>
    </row>
    <row r="22" spans="1:7" x14ac:dyDescent="0.2">
      <c r="A22" s="5" t="str">
        <f t="shared" si="0"/>
        <v>- SOD</v>
      </c>
      <c r="B22" s="5" t="s">
        <v>99</v>
      </c>
      <c r="C22" s="5">
        <v>1.0211520530128901E-2</v>
      </c>
      <c r="D22" s="5">
        <v>1.9680691735028899E-2</v>
      </c>
      <c r="E22" s="5">
        <v>2.9338243042495299E-3</v>
      </c>
      <c r="F22" s="5">
        <v>45</v>
      </c>
      <c r="G22" s="5">
        <v>62.2222222222222</v>
      </c>
    </row>
    <row r="23" spans="1:7" x14ac:dyDescent="0.2">
      <c r="A23" s="5" t="str">
        <f t="shared" si="0"/>
        <v>- SOD</v>
      </c>
      <c r="B23" s="5" t="s">
        <v>94</v>
      </c>
      <c r="C23" s="5">
        <v>1.01549784931353E-2</v>
      </c>
      <c r="D23" s="5">
        <v>3.6198967205838199E-2</v>
      </c>
      <c r="E23" s="5">
        <v>5.3962234258359901E-3</v>
      </c>
      <c r="F23" s="5">
        <v>45</v>
      </c>
      <c r="G23" s="5">
        <v>42.2222222222222</v>
      </c>
    </row>
    <row r="24" spans="1:7" x14ac:dyDescent="0.2">
      <c r="A24" s="5" t="str">
        <f t="shared" si="0"/>
        <v>- SOD</v>
      </c>
      <c r="B24" s="5" t="s">
        <v>97</v>
      </c>
      <c r="C24" s="5">
        <v>9.3175930775694707E-3</v>
      </c>
      <c r="D24" s="5">
        <v>1.04630859139277E-2</v>
      </c>
      <c r="E24" s="5">
        <v>1.55974475719752E-3</v>
      </c>
      <c r="F24" s="5">
        <v>45</v>
      </c>
      <c r="G24" s="5">
        <v>95.5555555555556</v>
      </c>
    </row>
    <row r="25" spans="1:7" x14ac:dyDescent="0.2">
      <c r="A25" s="5" t="str">
        <f t="shared" si="0"/>
        <v>- SOD</v>
      </c>
      <c r="B25" s="5" t="s">
        <v>96</v>
      </c>
      <c r="C25" s="5">
        <v>9.2007484111793093E-3</v>
      </c>
      <c r="D25" s="5">
        <v>1.5139199903033401E-2</v>
      </c>
      <c r="E25" s="5">
        <v>2.2568186738760598E-3</v>
      </c>
      <c r="F25" s="5">
        <v>45</v>
      </c>
      <c r="G25" s="5">
        <v>82.2222222222222</v>
      </c>
    </row>
    <row r="26" spans="1:7" x14ac:dyDescent="0.2">
      <c r="A26" s="5" t="str">
        <f>"+ SOD"</f>
        <v>+ SOD</v>
      </c>
      <c r="B26" s="5" t="s">
        <v>76</v>
      </c>
      <c r="C26" s="5">
        <v>9.6036865488697706E-2</v>
      </c>
      <c r="D26" s="5">
        <v>0.17795450408441801</v>
      </c>
      <c r="E26" s="5">
        <v>2.8495526200337701E-2</v>
      </c>
      <c r="F26" s="5">
        <v>39</v>
      </c>
      <c r="G26" s="5">
        <v>92.307692307692307</v>
      </c>
    </row>
    <row r="27" spans="1:7" x14ac:dyDescent="0.2">
      <c r="A27" s="5" t="str">
        <f t="shared" ref="A27:A50" si="1">"+ SOD"</f>
        <v>+ SOD</v>
      </c>
      <c r="B27" s="5" t="s">
        <v>79</v>
      </c>
      <c r="C27" s="5">
        <v>7.7368880744155002E-2</v>
      </c>
      <c r="D27" s="5">
        <v>8.9392797677890698E-2</v>
      </c>
      <c r="E27" s="5">
        <v>1.4314303655632301E-2</v>
      </c>
      <c r="F27" s="5">
        <v>39</v>
      </c>
      <c r="G27" s="5">
        <v>100</v>
      </c>
    </row>
    <row r="28" spans="1:7" x14ac:dyDescent="0.2">
      <c r="A28" s="5" t="str">
        <f t="shared" si="1"/>
        <v>+ SOD</v>
      </c>
      <c r="B28" s="5" t="s">
        <v>81</v>
      </c>
      <c r="C28" s="5">
        <v>6.0464538565688397E-2</v>
      </c>
      <c r="D28" s="5">
        <v>0.124309227670554</v>
      </c>
      <c r="E28" s="5">
        <v>1.99054071278221E-2</v>
      </c>
      <c r="F28" s="5">
        <v>39</v>
      </c>
      <c r="G28" s="5">
        <v>92.307692307692307</v>
      </c>
    </row>
    <row r="29" spans="1:7" x14ac:dyDescent="0.2">
      <c r="A29" s="5" t="str">
        <f t="shared" si="1"/>
        <v>+ SOD</v>
      </c>
      <c r="B29" s="5" t="s">
        <v>83</v>
      </c>
      <c r="C29" s="5">
        <v>5.8722670731801097E-2</v>
      </c>
      <c r="D29" s="5">
        <v>5.8572565791408002E-2</v>
      </c>
      <c r="E29" s="5">
        <v>9.3791168238051698E-3</v>
      </c>
      <c r="F29" s="5">
        <v>39</v>
      </c>
      <c r="G29" s="5">
        <v>100</v>
      </c>
    </row>
    <row r="30" spans="1:7" x14ac:dyDescent="0.2">
      <c r="A30" s="5" t="str">
        <f t="shared" si="1"/>
        <v>+ SOD</v>
      </c>
      <c r="B30" s="5" t="s">
        <v>78</v>
      </c>
      <c r="C30" s="5">
        <v>4.8340032025616902E-2</v>
      </c>
      <c r="D30" s="5">
        <v>4.9453949852335297E-2</v>
      </c>
      <c r="E30" s="5">
        <v>7.9189696882238092E-3</v>
      </c>
      <c r="F30" s="5">
        <v>39</v>
      </c>
      <c r="G30" s="5">
        <v>97.435897435897402</v>
      </c>
    </row>
    <row r="31" spans="1:7" x14ac:dyDescent="0.2">
      <c r="A31" s="5" t="str">
        <f t="shared" si="1"/>
        <v>+ SOD</v>
      </c>
      <c r="B31" s="5" t="s">
        <v>77</v>
      </c>
      <c r="C31" s="5">
        <v>4.1799382589206402E-2</v>
      </c>
      <c r="D31" s="5">
        <v>4.3059607261481801E-2</v>
      </c>
      <c r="E31" s="5">
        <v>6.8950554143532104E-3</v>
      </c>
      <c r="F31" s="5">
        <v>39</v>
      </c>
      <c r="G31" s="5">
        <v>97.435897435897402</v>
      </c>
    </row>
    <row r="32" spans="1:7" x14ac:dyDescent="0.2">
      <c r="A32" s="5" t="str">
        <f t="shared" si="1"/>
        <v>+ SOD</v>
      </c>
      <c r="B32" s="5" t="s">
        <v>84</v>
      </c>
      <c r="C32" s="5">
        <v>3.9157283111190599E-2</v>
      </c>
      <c r="D32" s="5">
        <v>5.0400030849542803E-2</v>
      </c>
      <c r="E32" s="5">
        <v>8.0704638916567206E-3</v>
      </c>
      <c r="F32" s="5">
        <v>39</v>
      </c>
      <c r="G32" s="5">
        <v>100</v>
      </c>
    </row>
    <row r="33" spans="1:7" x14ac:dyDescent="0.2">
      <c r="A33" s="5" t="str">
        <f t="shared" si="1"/>
        <v>+ SOD</v>
      </c>
      <c r="B33" s="5" t="s">
        <v>86</v>
      </c>
      <c r="C33" s="5">
        <v>2.3200960892375899E-2</v>
      </c>
      <c r="D33" s="5">
        <v>2.2318518305845102E-2</v>
      </c>
      <c r="E33" s="5">
        <v>3.5738231319800201E-3</v>
      </c>
      <c r="F33" s="5">
        <v>39</v>
      </c>
      <c r="G33" s="5">
        <v>100</v>
      </c>
    </row>
    <row r="34" spans="1:7" x14ac:dyDescent="0.2">
      <c r="A34" s="5" t="str">
        <f t="shared" si="1"/>
        <v>+ SOD</v>
      </c>
      <c r="B34" s="5" t="s">
        <v>99</v>
      </c>
      <c r="C34" s="5">
        <v>2.2744174069369499E-2</v>
      </c>
      <c r="D34" s="5">
        <v>5.9142315426443402E-2</v>
      </c>
      <c r="E34" s="5">
        <v>9.4703497809944994E-3</v>
      </c>
      <c r="F34" s="5">
        <v>39</v>
      </c>
      <c r="G34" s="5">
        <v>48.717948717948701</v>
      </c>
    </row>
    <row r="35" spans="1:7" x14ac:dyDescent="0.2">
      <c r="A35" s="5" t="str">
        <f t="shared" si="1"/>
        <v>+ SOD</v>
      </c>
      <c r="B35" s="5" t="s">
        <v>92</v>
      </c>
      <c r="C35" s="5">
        <v>1.9649346051666201E-2</v>
      </c>
      <c r="D35" s="5">
        <v>2.3511883971000399E-2</v>
      </c>
      <c r="E35" s="5">
        <v>3.7649145727557099E-3</v>
      </c>
      <c r="F35" s="5">
        <v>39</v>
      </c>
      <c r="G35" s="5">
        <v>100</v>
      </c>
    </row>
    <row r="36" spans="1:7" x14ac:dyDescent="0.2">
      <c r="A36" s="5" t="str">
        <f t="shared" si="1"/>
        <v>+ SOD</v>
      </c>
      <c r="B36" s="5" t="s">
        <v>88</v>
      </c>
      <c r="C36" s="5">
        <v>1.9572626246444E-2</v>
      </c>
      <c r="D36" s="5">
        <v>6.5084573392659703E-2</v>
      </c>
      <c r="E36" s="5">
        <v>1.0421872578558301E-2</v>
      </c>
      <c r="F36" s="5">
        <v>39</v>
      </c>
      <c r="G36" s="5">
        <v>74.358974358974393</v>
      </c>
    </row>
    <row r="37" spans="1:7" x14ac:dyDescent="0.2">
      <c r="A37" s="5" t="str">
        <f t="shared" si="1"/>
        <v>+ SOD</v>
      </c>
      <c r="B37" s="5" t="s">
        <v>90</v>
      </c>
      <c r="C37" s="5">
        <v>1.8889681500872099E-2</v>
      </c>
      <c r="D37" s="5">
        <v>2.2931306277703001E-2</v>
      </c>
      <c r="E37" s="5">
        <v>3.67194773858759E-3</v>
      </c>
      <c r="F37" s="5">
        <v>39</v>
      </c>
      <c r="G37" s="5">
        <v>100</v>
      </c>
    </row>
    <row r="38" spans="1:7" x14ac:dyDescent="0.2">
      <c r="A38" s="5" t="str">
        <f t="shared" si="1"/>
        <v>+ SOD</v>
      </c>
      <c r="B38" s="5" t="s">
        <v>97</v>
      </c>
      <c r="C38" s="5">
        <v>1.80325411283862E-2</v>
      </c>
      <c r="D38" s="5">
        <v>2.8023979380861E-2</v>
      </c>
      <c r="E38" s="5">
        <v>4.4874280805290998E-3</v>
      </c>
      <c r="F38" s="5">
        <v>39</v>
      </c>
      <c r="G38" s="5">
        <v>92.307692307692307</v>
      </c>
    </row>
    <row r="39" spans="1:7" x14ac:dyDescent="0.2">
      <c r="A39" s="5" t="str">
        <f t="shared" si="1"/>
        <v>+ SOD</v>
      </c>
      <c r="B39" s="5" t="s">
        <v>178</v>
      </c>
      <c r="C39" s="41" t="s">
        <v>149</v>
      </c>
      <c r="D39" s="42" t="s">
        <v>149</v>
      </c>
      <c r="E39" s="42" t="s">
        <v>149</v>
      </c>
      <c r="F39" s="42" t="s">
        <v>149</v>
      </c>
      <c r="G39" s="42" t="s">
        <v>149</v>
      </c>
    </row>
    <row r="40" spans="1:7" x14ac:dyDescent="0.2">
      <c r="A40" s="5" t="str">
        <f t="shared" si="1"/>
        <v>+ SOD</v>
      </c>
      <c r="B40" s="5" t="s">
        <v>85</v>
      </c>
      <c r="C40" s="5">
        <v>1.73496730926107E-2</v>
      </c>
      <c r="D40" s="5">
        <v>5.2046075395330897E-2</v>
      </c>
      <c r="E40" s="5">
        <v>8.3340419658547108E-3</v>
      </c>
      <c r="F40" s="5">
        <v>39</v>
      </c>
      <c r="G40" s="5">
        <v>64.102564102564102</v>
      </c>
    </row>
    <row r="41" spans="1:7" x14ac:dyDescent="0.2">
      <c r="A41" s="5" t="str">
        <f t="shared" si="1"/>
        <v>+ SOD</v>
      </c>
      <c r="B41" s="5" t="s">
        <v>82</v>
      </c>
      <c r="C41" s="5">
        <v>1.6706716329794501E-2</v>
      </c>
      <c r="D41" s="5">
        <v>5.5245653668747001E-2</v>
      </c>
      <c r="E41" s="5">
        <v>8.8463845277316905E-3</v>
      </c>
      <c r="F41" s="5">
        <v>39</v>
      </c>
      <c r="G41" s="5">
        <v>48.717948717948701</v>
      </c>
    </row>
    <row r="42" spans="1:7" x14ac:dyDescent="0.2">
      <c r="A42" s="5" t="str">
        <f t="shared" si="1"/>
        <v>+ SOD</v>
      </c>
      <c r="B42" s="5" t="s">
        <v>94</v>
      </c>
      <c r="C42" s="5">
        <v>1.6159293693573499E-2</v>
      </c>
      <c r="D42" s="5">
        <v>7.2804753529397304E-2</v>
      </c>
      <c r="E42" s="5">
        <v>1.1658090770896801E-2</v>
      </c>
      <c r="F42" s="5">
        <v>39</v>
      </c>
      <c r="G42" s="5">
        <v>23.076923076923102</v>
      </c>
    </row>
    <row r="43" spans="1:7" x14ac:dyDescent="0.2">
      <c r="A43" s="5" t="str">
        <f t="shared" si="1"/>
        <v>+ SOD</v>
      </c>
      <c r="B43" s="5" t="s">
        <v>100</v>
      </c>
      <c r="C43" s="5">
        <v>1.49844638039946E-2</v>
      </c>
      <c r="D43" s="5">
        <v>2.1484578436198401E-2</v>
      </c>
      <c r="E43" s="5">
        <v>3.4402858802690299E-3</v>
      </c>
      <c r="F43" s="5">
        <v>39</v>
      </c>
      <c r="G43" s="5">
        <v>100</v>
      </c>
    </row>
    <row r="44" spans="1:7" x14ac:dyDescent="0.2">
      <c r="A44" s="5" t="str">
        <f t="shared" si="1"/>
        <v>+ SOD</v>
      </c>
      <c r="B44" s="5" t="s">
        <v>80</v>
      </c>
      <c r="C44" s="5">
        <v>1.27602486979828E-2</v>
      </c>
      <c r="D44" s="5">
        <v>1.24623104661699E-2</v>
      </c>
      <c r="E44" s="5">
        <v>1.9955667670935998E-3</v>
      </c>
      <c r="F44" s="5">
        <v>39</v>
      </c>
      <c r="G44" s="5">
        <v>97.435897435897402</v>
      </c>
    </row>
    <row r="45" spans="1:7" x14ac:dyDescent="0.2">
      <c r="A45" s="5" t="str">
        <f t="shared" si="1"/>
        <v>+ SOD</v>
      </c>
      <c r="B45" s="5" t="s">
        <v>96</v>
      </c>
      <c r="C45" s="5">
        <v>1.25728570933057E-2</v>
      </c>
      <c r="D45" s="5">
        <v>1.9418541432897202E-2</v>
      </c>
      <c r="E45" s="5">
        <v>3.1094551892374201E-3</v>
      </c>
      <c r="F45" s="5">
        <v>39</v>
      </c>
      <c r="G45" s="5">
        <v>76.923076923076906</v>
      </c>
    </row>
    <row r="46" spans="1:7" x14ac:dyDescent="0.2">
      <c r="A46" s="5" t="str">
        <f t="shared" si="1"/>
        <v>+ SOD</v>
      </c>
      <c r="B46" s="5" t="s">
        <v>106</v>
      </c>
      <c r="C46" s="5">
        <v>1.2132460450806201E-2</v>
      </c>
      <c r="D46" s="5">
        <v>4.3433811414827703E-2</v>
      </c>
      <c r="E46" s="5">
        <v>6.9549760345746703E-3</v>
      </c>
      <c r="F46" s="5">
        <v>39</v>
      </c>
      <c r="G46" s="5">
        <v>28.205128205128201</v>
      </c>
    </row>
    <row r="47" spans="1:7" x14ac:dyDescent="0.2">
      <c r="A47" s="5" t="str">
        <f t="shared" si="1"/>
        <v>+ SOD</v>
      </c>
      <c r="B47" s="5" t="s">
        <v>93</v>
      </c>
      <c r="C47" s="5">
        <v>1.20961273616274E-2</v>
      </c>
      <c r="D47" s="5">
        <v>2.0468152947784701E-2</v>
      </c>
      <c r="E47" s="5">
        <v>3.2775275433289102E-3</v>
      </c>
      <c r="F47" s="5">
        <v>39</v>
      </c>
      <c r="G47" s="5">
        <v>74.358974358974393</v>
      </c>
    </row>
    <row r="48" spans="1:7" x14ac:dyDescent="0.2">
      <c r="A48" s="5" t="str">
        <f t="shared" si="1"/>
        <v>+ SOD</v>
      </c>
      <c r="B48" s="5" t="s">
        <v>101</v>
      </c>
      <c r="C48" s="5">
        <v>1.1957254879902001E-2</v>
      </c>
      <c r="D48" s="5">
        <v>2.2859164648947099E-2</v>
      </c>
      <c r="E48" s="5">
        <v>3.6603958327624101E-3</v>
      </c>
      <c r="F48" s="5">
        <v>39</v>
      </c>
      <c r="G48" s="5">
        <v>82.051282051282001</v>
      </c>
    </row>
    <row r="49" spans="1:7" x14ac:dyDescent="0.2">
      <c r="A49" s="5" t="str">
        <f t="shared" si="1"/>
        <v>+ SOD</v>
      </c>
      <c r="B49" s="5" t="s">
        <v>102</v>
      </c>
      <c r="C49" s="5">
        <v>1.09077824338855E-2</v>
      </c>
      <c r="D49" s="5">
        <v>2.0565078764180102E-2</v>
      </c>
      <c r="E49" s="5">
        <v>3.2930480953643699E-3</v>
      </c>
      <c r="F49" s="5">
        <v>39</v>
      </c>
      <c r="G49" s="5">
        <v>89.743589743589794</v>
      </c>
    </row>
    <row r="50" spans="1:7" x14ac:dyDescent="0.2">
      <c r="A50" s="5" t="str">
        <f t="shared" si="1"/>
        <v>+ SOD</v>
      </c>
      <c r="B50" s="5" t="s">
        <v>87</v>
      </c>
      <c r="C50" s="5">
        <v>8.9433621288419092E-3</v>
      </c>
      <c r="D50" s="5">
        <v>2.21308016849203E-2</v>
      </c>
      <c r="E50" s="5">
        <v>3.5437644160327998E-3</v>
      </c>
      <c r="F50" s="5">
        <v>39</v>
      </c>
      <c r="G50" s="5">
        <v>43.589743589743598</v>
      </c>
    </row>
    <row r="51" spans="1:7" x14ac:dyDescent="0.2">
      <c r="A51" s="5" t="s">
        <v>69</v>
      </c>
      <c r="B51" s="5" t="s">
        <v>83</v>
      </c>
      <c r="C51" s="5">
        <v>0.10855436370421399</v>
      </c>
      <c r="D51" s="5">
        <v>0.112320647102955</v>
      </c>
      <c r="E51" s="5">
        <v>3.0018955637143001E-2</v>
      </c>
      <c r="F51" s="5">
        <v>14</v>
      </c>
      <c r="G51" s="5">
        <v>100</v>
      </c>
    </row>
    <row r="52" spans="1:7" x14ac:dyDescent="0.2">
      <c r="A52" s="5" t="s">
        <v>69</v>
      </c>
      <c r="B52" s="5" t="s">
        <v>84</v>
      </c>
      <c r="C52" s="5">
        <v>9.5813872632086197E-2</v>
      </c>
      <c r="D52" s="5">
        <v>7.7261543429015297E-2</v>
      </c>
      <c r="E52" s="5">
        <v>2.0649016048909299E-2</v>
      </c>
      <c r="F52" s="5">
        <v>14</v>
      </c>
      <c r="G52" s="5">
        <v>92.857142857142904</v>
      </c>
    </row>
    <row r="53" spans="1:7" x14ac:dyDescent="0.2">
      <c r="A53" s="5" t="s">
        <v>69</v>
      </c>
      <c r="B53" s="5" t="s">
        <v>116</v>
      </c>
      <c r="C53" s="5">
        <v>8.3421878116370904E-2</v>
      </c>
      <c r="D53" s="5">
        <v>0.200481693678459</v>
      </c>
      <c r="E53" s="5">
        <v>5.3580986433211297E-2</v>
      </c>
      <c r="F53" s="5">
        <v>14</v>
      </c>
      <c r="G53" s="5">
        <v>71.428571428571402</v>
      </c>
    </row>
    <row r="54" spans="1:7" x14ac:dyDescent="0.2">
      <c r="A54" s="5" t="s">
        <v>69</v>
      </c>
      <c r="B54" s="5" t="s">
        <v>77</v>
      </c>
      <c r="C54" s="5">
        <v>4.8578206075136597E-2</v>
      </c>
      <c r="D54" s="5">
        <v>8.1813633241444306E-2</v>
      </c>
      <c r="E54" s="5">
        <v>2.1865613225476001E-2</v>
      </c>
      <c r="F54" s="5">
        <v>14</v>
      </c>
      <c r="G54" s="5">
        <v>92.857142857142904</v>
      </c>
    </row>
    <row r="55" spans="1:7" x14ac:dyDescent="0.2">
      <c r="A55" s="5" t="s">
        <v>69</v>
      </c>
      <c r="B55" s="5" t="s">
        <v>92</v>
      </c>
      <c r="C55" s="5">
        <v>4.5928637847546298E-2</v>
      </c>
      <c r="D55" s="5">
        <v>8.4577869593534999E-2</v>
      </c>
      <c r="E55" s="5">
        <v>2.26043864658752E-2</v>
      </c>
      <c r="F55" s="5">
        <v>14</v>
      </c>
      <c r="G55" s="5">
        <v>85.714285714285694</v>
      </c>
    </row>
    <row r="56" spans="1:7" x14ac:dyDescent="0.2">
      <c r="A56" s="5" t="s">
        <v>69</v>
      </c>
      <c r="B56" s="5" t="s">
        <v>108</v>
      </c>
      <c r="C56" s="5">
        <v>4.29476370869964E-2</v>
      </c>
      <c r="D56" s="5">
        <v>7.36086821021147E-2</v>
      </c>
      <c r="E56" s="5">
        <v>1.9672747794148002E-2</v>
      </c>
      <c r="F56" s="5">
        <v>14</v>
      </c>
      <c r="G56" s="5">
        <v>100</v>
      </c>
    </row>
    <row r="57" spans="1:7" x14ac:dyDescent="0.2">
      <c r="A57" s="5" t="s">
        <v>69</v>
      </c>
      <c r="B57" s="5" t="s">
        <v>101</v>
      </c>
      <c r="C57" s="5">
        <v>4.0402660040025698E-2</v>
      </c>
      <c r="D57" s="5">
        <v>3.9022307740479698E-2</v>
      </c>
      <c r="E57" s="5">
        <v>1.0429150429009401E-2</v>
      </c>
      <c r="F57" s="5">
        <v>14</v>
      </c>
      <c r="G57" s="5">
        <v>100</v>
      </c>
    </row>
    <row r="58" spans="1:7" x14ac:dyDescent="0.2">
      <c r="A58" s="5" t="s">
        <v>69</v>
      </c>
      <c r="B58" s="5" t="s">
        <v>78</v>
      </c>
      <c r="C58" s="5">
        <v>3.3460498638911498E-2</v>
      </c>
      <c r="D58" s="5">
        <v>5.4067503783298602E-2</v>
      </c>
      <c r="E58" s="5">
        <v>1.44501482082291E-2</v>
      </c>
      <c r="F58" s="5">
        <v>14</v>
      </c>
      <c r="G58" s="5">
        <v>85.714285714285694</v>
      </c>
    </row>
    <row r="59" spans="1:7" x14ac:dyDescent="0.2">
      <c r="A59" s="5" t="s">
        <v>69</v>
      </c>
      <c r="B59" s="5" t="s">
        <v>86</v>
      </c>
      <c r="C59" s="5">
        <v>3.2301620428929798E-2</v>
      </c>
      <c r="D59" s="5">
        <v>4.0299666962768203E-2</v>
      </c>
      <c r="E59" s="5">
        <v>1.0770539041126501E-2</v>
      </c>
      <c r="F59" s="5">
        <v>14</v>
      </c>
      <c r="G59" s="5">
        <v>78.571428571428598</v>
      </c>
    </row>
    <row r="60" spans="1:7" x14ac:dyDescent="0.2">
      <c r="A60" s="5" t="s">
        <v>69</v>
      </c>
      <c r="B60" s="5" t="s">
        <v>79</v>
      </c>
      <c r="C60" s="5">
        <v>3.2079894726933601E-2</v>
      </c>
      <c r="D60" s="5">
        <v>3.9815170620744501E-2</v>
      </c>
      <c r="E60" s="5">
        <v>1.06410519470552E-2</v>
      </c>
      <c r="F60" s="5">
        <v>14</v>
      </c>
      <c r="G60" s="5">
        <v>100</v>
      </c>
    </row>
    <row r="61" spans="1:7" x14ac:dyDescent="0.2">
      <c r="A61" s="5" t="s">
        <v>69</v>
      </c>
      <c r="B61" s="5" t="s">
        <v>97</v>
      </c>
      <c r="C61" s="5">
        <v>3.1356425080495499E-2</v>
      </c>
      <c r="D61" s="5">
        <v>2.8738818782211E-2</v>
      </c>
      <c r="E61" s="5">
        <v>7.68077239882983E-3</v>
      </c>
      <c r="F61" s="5">
        <v>14</v>
      </c>
      <c r="G61" s="5">
        <v>85.714285714285694</v>
      </c>
    </row>
    <row r="62" spans="1:7" x14ac:dyDescent="0.2">
      <c r="A62" s="5" t="s">
        <v>69</v>
      </c>
      <c r="B62" s="5" t="s">
        <v>126</v>
      </c>
      <c r="C62" s="5">
        <v>2.47823614357407E-2</v>
      </c>
      <c r="D62" s="5">
        <v>7.4563720394971694E-2</v>
      </c>
      <c r="E62" s="5">
        <v>1.9927992514370899E-2</v>
      </c>
      <c r="F62" s="5">
        <v>14</v>
      </c>
      <c r="G62" s="5">
        <v>71.428571428571402</v>
      </c>
    </row>
    <row r="63" spans="1:7" x14ac:dyDescent="0.2">
      <c r="A63" s="5" t="s">
        <v>69</v>
      </c>
      <c r="B63" s="5" t="s">
        <v>125</v>
      </c>
      <c r="C63" s="5">
        <v>2.4350100346422099E-2</v>
      </c>
      <c r="D63" s="5">
        <v>5.1375393383616602E-2</v>
      </c>
      <c r="E63" s="5">
        <v>1.3730651439444699E-2</v>
      </c>
      <c r="F63" s="5">
        <v>14</v>
      </c>
      <c r="G63" s="5">
        <v>100</v>
      </c>
    </row>
    <row r="64" spans="1:7" x14ac:dyDescent="0.2">
      <c r="A64" s="5" t="s">
        <v>69</v>
      </c>
      <c r="B64" s="5" t="s">
        <v>117</v>
      </c>
      <c r="C64" s="5">
        <v>2.38300381454312E-2</v>
      </c>
      <c r="D64" s="5">
        <v>6.8357137707700993E-2</v>
      </c>
      <c r="E64" s="5">
        <v>1.82692135173388E-2</v>
      </c>
      <c r="F64" s="5">
        <v>14</v>
      </c>
      <c r="G64" s="5">
        <v>71.428571428571402</v>
      </c>
    </row>
    <row r="65" spans="1:7" x14ac:dyDescent="0.2">
      <c r="A65" s="5" t="s">
        <v>69</v>
      </c>
      <c r="B65" s="5" t="s">
        <v>178</v>
      </c>
      <c r="C65" s="41" t="s">
        <v>149</v>
      </c>
      <c r="D65" s="42" t="s">
        <v>149</v>
      </c>
      <c r="E65" s="42" t="s">
        <v>149</v>
      </c>
      <c r="F65" s="42" t="s">
        <v>149</v>
      </c>
      <c r="G65" s="42" t="s">
        <v>149</v>
      </c>
    </row>
    <row r="66" spans="1:7" x14ac:dyDescent="0.2">
      <c r="A66" s="5" t="s">
        <v>69</v>
      </c>
      <c r="B66" s="5" t="s">
        <v>76</v>
      </c>
      <c r="C66" s="5">
        <v>1.7740312597658899E-2</v>
      </c>
      <c r="D66" s="5">
        <v>3.7077427209809798E-2</v>
      </c>
      <c r="E66" s="5">
        <v>9.9093592430112704E-3</v>
      </c>
      <c r="F66" s="5">
        <v>14</v>
      </c>
      <c r="G66" s="5">
        <v>42.857142857142897</v>
      </c>
    </row>
    <row r="67" spans="1:7" x14ac:dyDescent="0.2">
      <c r="A67" s="5" t="s">
        <v>69</v>
      </c>
      <c r="B67" s="5" t="s">
        <v>119</v>
      </c>
      <c r="C67" s="5">
        <v>1.6014857110205501E-2</v>
      </c>
      <c r="D67" s="5">
        <v>3.2725566198116E-2</v>
      </c>
      <c r="E67" s="5">
        <v>8.7462754643957506E-3</v>
      </c>
      <c r="F67" s="5">
        <v>14</v>
      </c>
      <c r="G67" s="5">
        <v>78.571428571428598</v>
      </c>
    </row>
    <row r="68" spans="1:7" x14ac:dyDescent="0.2">
      <c r="A68" s="5" t="s">
        <v>69</v>
      </c>
      <c r="B68" s="5" t="s">
        <v>90</v>
      </c>
      <c r="C68" s="5">
        <v>1.53162556879483E-2</v>
      </c>
      <c r="D68" s="5">
        <v>2.57292978089275E-2</v>
      </c>
      <c r="E68" s="5">
        <v>6.8764440859485701E-3</v>
      </c>
      <c r="F68" s="5">
        <v>14</v>
      </c>
      <c r="G68" s="5">
        <v>85.714285714285694</v>
      </c>
    </row>
    <row r="69" spans="1:7" x14ac:dyDescent="0.2">
      <c r="A69" s="5" t="s">
        <v>69</v>
      </c>
      <c r="B69" s="5" t="s">
        <v>81</v>
      </c>
      <c r="C69" s="5">
        <v>1.19116516469516E-2</v>
      </c>
      <c r="D69" s="5">
        <v>2.2812812067526202E-2</v>
      </c>
      <c r="E69" s="5">
        <v>6.0969804846818E-3</v>
      </c>
      <c r="F69" s="5">
        <v>14</v>
      </c>
      <c r="G69" s="5">
        <v>64.285714285714306</v>
      </c>
    </row>
    <row r="70" spans="1:7" x14ac:dyDescent="0.2">
      <c r="A70" s="5" t="s">
        <v>69</v>
      </c>
      <c r="B70" s="5" t="s">
        <v>80</v>
      </c>
      <c r="C70" s="5">
        <v>1.08900227163524E-2</v>
      </c>
      <c r="D70" s="5">
        <v>1.6640616332279898E-2</v>
      </c>
      <c r="E70" s="5">
        <v>4.4473917871533002E-3</v>
      </c>
      <c r="F70" s="5">
        <v>14</v>
      </c>
      <c r="G70" s="5">
        <v>78.571428571428598</v>
      </c>
    </row>
    <row r="71" spans="1:7" x14ac:dyDescent="0.2">
      <c r="A71" s="5" t="s">
        <v>69</v>
      </c>
      <c r="B71" s="5" t="s">
        <v>96</v>
      </c>
      <c r="C71" s="5">
        <v>1.0518836240925899E-2</v>
      </c>
      <c r="D71" s="5">
        <v>3.5326181117673598E-2</v>
      </c>
      <c r="E71" s="5">
        <v>9.4413190375326802E-3</v>
      </c>
      <c r="F71" s="5">
        <v>14</v>
      </c>
      <c r="G71" s="5">
        <v>35.714285714285701</v>
      </c>
    </row>
    <row r="73" spans="1:7" ht="18" x14ac:dyDescent="0.2">
      <c r="A73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9678-F896-DC47-BA93-033223B89B91}">
  <dimension ref="A1:G31"/>
  <sheetViews>
    <sheetView workbookViewId="0">
      <selection activeCell="A31" sqref="A31"/>
    </sheetView>
  </sheetViews>
  <sheetFormatPr baseColWidth="10" defaultRowHeight="16" x14ac:dyDescent="0.2"/>
  <cols>
    <col min="1" max="1" width="17.6640625" style="1" bestFit="1" customWidth="1"/>
    <col min="2" max="2" width="18.33203125" style="1" bestFit="1" customWidth="1"/>
    <col min="3" max="3" width="27.83203125" style="1" bestFit="1" customWidth="1"/>
    <col min="4" max="4" width="20.1640625" style="1" bestFit="1" customWidth="1"/>
    <col min="5" max="5" width="16" style="1" bestFit="1" customWidth="1"/>
    <col min="6" max="6" width="13.5" style="1" bestFit="1" customWidth="1"/>
    <col min="7" max="7" width="20.83203125" style="1" bestFit="1" customWidth="1"/>
    <col min="8" max="16384" width="10.83203125" style="1"/>
  </cols>
  <sheetData>
    <row r="1" spans="1:7" ht="17" thickBot="1" x14ac:dyDescent="0.25">
      <c r="A1" s="35" t="s">
        <v>150</v>
      </c>
      <c r="B1" s="40" t="s">
        <v>18</v>
      </c>
      <c r="C1" s="40" t="s">
        <v>173</v>
      </c>
      <c r="D1" s="40" t="s">
        <v>174</v>
      </c>
      <c r="E1" s="40" t="s">
        <v>175</v>
      </c>
      <c r="F1" s="40" t="s">
        <v>176</v>
      </c>
      <c r="G1" s="40" t="s">
        <v>177</v>
      </c>
    </row>
    <row r="2" spans="1:7" x14ac:dyDescent="0.2">
      <c r="A2" s="5" t="str">
        <f>"- SOD"</f>
        <v>- SOD</v>
      </c>
      <c r="B2" s="5" t="s">
        <v>127</v>
      </c>
      <c r="C2" s="5">
        <v>0.36274835947728301</v>
      </c>
      <c r="D2" s="5">
        <v>0.338460254721341</v>
      </c>
      <c r="E2" s="5">
        <v>5.4905503517175797E-2</v>
      </c>
      <c r="F2" s="5">
        <v>38</v>
      </c>
      <c r="G2" s="5">
        <v>81.578947368420998</v>
      </c>
    </row>
    <row r="3" spans="1:7" x14ac:dyDescent="0.2">
      <c r="A3" s="5" t="str">
        <f t="shared" ref="A3:A12" si="0">"- SOD"</f>
        <v>- SOD</v>
      </c>
      <c r="B3" s="5" t="s">
        <v>128</v>
      </c>
      <c r="C3" s="5">
        <v>0.14623309917702501</v>
      </c>
      <c r="D3" s="5">
        <v>0.21208790521572299</v>
      </c>
      <c r="E3" s="5">
        <v>3.4405201388741098E-2</v>
      </c>
      <c r="F3" s="5">
        <v>38</v>
      </c>
      <c r="G3" s="5">
        <v>65.789473684210506</v>
      </c>
    </row>
    <row r="4" spans="1:7" x14ac:dyDescent="0.2">
      <c r="A4" s="5" t="str">
        <f t="shared" si="0"/>
        <v>- SOD</v>
      </c>
      <c r="B4" s="5" t="s">
        <v>179</v>
      </c>
      <c r="C4" s="5">
        <v>0.119864792540196</v>
      </c>
      <c r="D4" s="5">
        <v>0.23970946024103801</v>
      </c>
      <c r="E4" s="5">
        <v>3.8886009298789201E-2</v>
      </c>
      <c r="F4" s="5">
        <v>38</v>
      </c>
      <c r="G4" s="5">
        <v>39.473684210526301</v>
      </c>
    </row>
    <row r="5" spans="1:7" x14ac:dyDescent="0.2">
      <c r="A5" s="5" t="str">
        <f t="shared" si="0"/>
        <v>- SOD</v>
      </c>
      <c r="B5" s="5" t="s">
        <v>131</v>
      </c>
      <c r="C5" s="5">
        <v>0.11671383391739799</v>
      </c>
      <c r="D5" s="5">
        <v>0.21555718744447799</v>
      </c>
      <c r="E5" s="5">
        <v>3.4967993282193403E-2</v>
      </c>
      <c r="F5" s="5">
        <v>38</v>
      </c>
      <c r="G5" s="5">
        <v>36.842105263157897</v>
      </c>
    </row>
    <row r="6" spans="1:7" x14ac:dyDescent="0.2">
      <c r="A6" s="5" t="str">
        <f t="shared" si="0"/>
        <v>- SOD</v>
      </c>
      <c r="B6" s="5" t="s">
        <v>130</v>
      </c>
      <c r="C6" s="5">
        <v>6.4227607989220906E-2</v>
      </c>
      <c r="D6" s="5">
        <v>0.19304925426264699</v>
      </c>
      <c r="E6" s="5">
        <v>3.1316724374720599E-2</v>
      </c>
      <c r="F6" s="5">
        <v>38</v>
      </c>
      <c r="G6" s="5">
        <v>42.105263157894697</v>
      </c>
    </row>
    <row r="7" spans="1:7" x14ac:dyDescent="0.2">
      <c r="A7" s="5" t="str">
        <f t="shared" si="0"/>
        <v>- SOD</v>
      </c>
      <c r="B7" s="5" t="s">
        <v>133</v>
      </c>
      <c r="C7" s="5">
        <v>5.2860345863115797E-2</v>
      </c>
      <c r="D7" s="5">
        <v>0.18735504059067501</v>
      </c>
      <c r="E7" s="5">
        <v>3.0393000940631101E-2</v>
      </c>
      <c r="F7" s="5">
        <v>38</v>
      </c>
      <c r="G7" s="5">
        <v>21.052631578947398</v>
      </c>
    </row>
    <row r="8" spans="1:7" x14ac:dyDescent="0.2">
      <c r="A8" s="5" t="str">
        <f t="shared" si="0"/>
        <v>- SOD</v>
      </c>
      <c r="B8" s="5" t="s">
        <v>180</v>
      </c>
      <c r="C8" s="5">
        <v>4.2784522273974501E-2</v>
      </c>
      <c r="D8" s="5">
        <v>0.133974074609091</v>
      </c>
      <c r="E8" s="5">
        <v>2.1733464777765499E-2</v>
      </c>
      <c r="F8" s="5">
        <v>38</v>
      </c>
      <c r="G8" s="5">
        <v>15.789473684210501</v>
      </c>
    </row>
    <row r="9" spans="1:7" x14ac:dyDescent="0.2">
      <c r="A9" s="5" t="str">
        <f t="shared" si="0"/>
        <v>- SOD</v>
      </c>
      <c r="B9" s="5" t="s">
        <v>181</v>
      </c>
      <c r="C9" s="5">
        <v>4.1503814447605203E-2</v>
      </c>
      <c r="D9" s="5">
        <v>0.165652096283602</v>
      </c>
      <c r="E9" s="5">
        <v>2.6872318472415901E-2</v>
      </c>
      <c r="F9" s="5">
        <v>38</v>
      </c>
      <c r="G9" s="5">
        <v>7.8947368421052602</v>
      </c>
    </row>
    <row r="10" spans="1:7" x14ac:dyDescent="0.2">
      <c r="A10" s="5" t="str">
        <f t="shared" si="0"/>
        <v>- SOD</v>
      </c>
      <c r="B10" s="5" t="s">
        <v>129</v>
      </c>
      <c r="C10" s="5">
        <v>2.5227522970566098E-2</v>
      </c>
      <c r="D10" s="5">
        <v>0.127595595050401</v>
      </c>
      <c r="E10" s="5">
        <v>2.06987387591013E-2</v>
      </c>
      <c r="F10" s="5">
        <v>38</v>
      </c>
      <c r="G10" s="5">
        <v>7.8947368421052602</v>
      </c>
    </row>
    <row r="11" spans="1:7" x14ac:dyDescent="0.2">
      <c r="A11" s="5" t="str">
        <f t="shared" si="0"/>
        <v>- SOD</v>
      </c>
      <c r="B11" s="5" t="s">
        <v>132</v>
      </c>
      <c r="C11" s="5">
        <v>2.4400209220384599E-2</v>
      </c>
      <c r="D11" s="5">
        <v>6.3982399236626103E-2</v>
      </c>
      <c r="E11" s="5">
        <v>1.03793157315213E-2</v>
      </c>
      <c r="F11" s="5">
        <v>38</v>
      </c>
      <c r="G11" s="5">
        <v>26.315789473684202</v>
      </c>
    </row>
    <row r="12" spans="1:7" x14ac:dyDescent="0.2">
      <c r="A12" s="5" t="str">
        <f t="shared" si="0"/>
        <v>- SOD</v>
      </c>
      <c r="B12" s="5" t="s">
        <v>178</v>
      </c>
      <c r="C12" s="41" t="s">
        <v>149</v>
      </c>
      <c r="D12" s="42" t="s">
        <v>149</v>
      </c>
      <c r="E12" s="42" t="s">
        <v>149</v>
      </c>
      <c r="F12" s="42" t="s">
        <v>149</v>
      </c>
      <c r="G12" s="42" t="s">
        <v>149</v>
      </c>
    </row>
    <row r="13" spans="1:7" x14ac:dyDescent="0.2">
      <c r="A13" s="5" t="str">
        <f>"+ SOD"</f>
        <v>+ SOD</v>
      </c>
      <c r="B13" s="5" t="s">
        <v>127</v>
      </c>
      <c r="C13" s="5">
        <v>0.410526790884023</v>
      </c>
      <c r="D13" s="5">
        <v>0.368414675211646</v>
      </c>
      <c r="E13" s="5">
        <v>6.1402445868607602E-2</v>
      </c>
      <c r="F13" s="5">
        <v>36</v>
      </c>
      <c r="G13" s="5">
        <v>66.6666666666667</v>
      </c>
    </row>
    <row r="14" spans="1:7" x14ac:dyDescent="0.2">
      <c r="A14" s="5" t="str">
        <f t="shared" ref="A14:A23" si="1">"+ SOD"</f>
        <v>+ SOD</v>
      </c>
      <c r="B14" s="5" t="s">
        <v>133</v>
      </c>
      <c r="C14" s="5">
        <v>0.16334659209407101</v>
      </c>
      <c r="D14" s="5">
        <v>0.28789178054296699</v>
      </c>
      <c r="E14" s="5">
        <v>4.7981963423827802E-2</v>
      </c>
      <c r="F14" s="5">
        <v>36</v>
      </c>
      <c r="G14" s="5">
        <v>55.5555555555556</v>
      </c>
    </row>
    <row r="15" spans="1:7" x14ac:dyDescent="0.2">
      <c r="A15" s="5" t="str">
        <f t="shared" si="1"/>
        <v>+ SOD</v>
      </c>
      <c r="B15" s="5" t="s">
        <v>128</v>
      </c>
      <c r="C15" s="5">
        <v>0.120075741700313</v>
      </c>
      <c r="D15" s="5">
        <v>0.18740892235067799</v>
      </c>
      <c r="E15" s="5">
        <v>3.1234820391779699E-2</v>
      </c>
      <c r="F15" s="5">
        <v>36</v>
      </c>
      <c r="G15" s="5">
        <v>61.1111111111111</v>
      </c>
    </row>
    <row r="16" spans="1:7" x14ac:dyDescent="0.2">
      <c r="A16" s="5" t="str">
        <f t="shared" si="1"/>
        <v>+ SOD</v>
      </c>
      <c r="B16" s="5" t="s">
        <v>131</v>
      </c>
      <c r="C16" s="5">
        <v>6.5310784791337007E-2</v>
      </c>
      <c r="D16" s="5">
        <v>0.19232999312354301</v>
      </c>
      <c r="E16" s="5">
        <v>3.2054998853923801E-2</v>
      </c>
      <c r="F16" s="5">
        <v>36</v>
      </c>
      <c r="G16" s="5">
        <v>33.3333333333333</v>
      </c>
    </row>
    <row r="17" spans="1:7" x14ac:dyDescent="0.2">
      <c r="A17" s="5" t="str">
        <f t="shared" si="1"/>
        <v>+ SOD</v>
      </c>
      <c r="B17" s="5" t="s">
        <v>179</v>
      </c>
      <c r="C17" s="5">
        <v>6.3972920445064696E-2</v>
      </c>
      <c r="D17" s="5">
        <v>0.13400319651588699</v>
      </c>
      <c r="E17" s="5">
        <v>2.2333866085981102E-2</v>
      </c>
      <c r="F17" s="5">
        <v>36</v>
      </c>
      <c r="G17" s="5">
        <v>38.8888888888889</v>
      </c>
    </row>
    <row r="18" spans="1:7" x14ac:dyDescent="0.2">
      <c r="A18" s="5" t="str">
        <f t="shared" si="1"/>
        <v>+ SOD</v>
      </c>
      <c r="B18" s="5" t="s">
        <v>130</v>
      </c>
      <c r="C18" s="5">
        <v>6.0759040169546003E-2</v>
      </c>
      <c r="D18" s="5">
        <v>0.14435184938800399</v>
      </c>
      <c r="E18" s="5">
        <v>2.4058641564667398E-2</v>
      </c>
      <c r="F18" s="5">
        <v>36</v>
      </c>
      <c r="G18" s="5">
        <v>38.8888888888889</v>
      </c>
    </row>
    <row r="19" spans="1:7" x14ac:dyDescent="0.2">
      <c r="A19" s="5" t="str">
        <f t="shared" si="1"/>
        <v>+ SOD</v>
      </c>
      <c r="B19" s="5" t="s">
        <v>182</v>
      </c>
      <c r="C19" s="5">
        <v>3.3549343224757597E-2</v>
      </c>
      <c r="D19" s="5">
        <v>0.14022653272139399</v>
      </c>
      <c r="E19" s="5">
        <v>2.3371088786898999E-2</v>
      </c>
      <c r="F19" s="5">
        <v>36</v>
      </c>
      <c r="G19" s="5">
        <v>25</v>
      </c>
    </row>
    <row r="20" spans="1:7" x14ac:dyDescent="0.2">
      <c r="A20" s="5" t="str">
        <f t="shared" si="1"/>
        <v>+ SOD</v>
      </c>
      <c r="B20" s="5" t="s">
        <v>129</v>
      </c>
      <c r="C20" s="5">
        <v>2.9499833486265399E-2</v>
      </c>
      <c r="D20" s="5">
        <v>0.102583893443844</v>
      </c>
      <c r="E20" s="5">
        <v>1.7097315573973999E-2</v>
      </c>
      <c r="F20" s="5">
        <v>36</v>
      </c>
      <c r="G20" s="5">
        <v>11.1111111111111</v>
      </c>
    </row>
    <row r="21" spans="1:7" x14ac:dyDescent="0.2">
      <c r="A21" s="5" t="str">
        <f t="shared" si="1"/>
        <v>+ SOD</v>
      </c>
      <c r="B21" s="5" t="s">
        <v>181</v>
      </c>
      <c r="C21" s="5">
        <v>2.3336076277599999E-2</v>
      </c>
      <c r="D21" s="5">
        <v>0.100364337500757</v>
      </c>
      <c r="E21" s="5">
        <v>1.6727389583459502E-2</v>
      </c>
      <c r="F21" s="5">
        <v>36</v>
      </c>
      <c r="G21" s="5">
        <v>11.1111111111111</v>
      </c>
    </row>
    <row r="22" spans="1:7" x14ac:dyDescent="0.2">
      <c r="A22" s="5" t="str">
        <f t="shared" si="1"/>
        <v>+ SOD</v>
      </c>
      <c r="B22" s="5" t="s">
        <v>132</v>
      </c>
      <c r="C22" s="5">
        <v>1.65705964081314E-2</v>
      </c>
      <c r="D22" s="5">
        <v>4.69919005509042E-2</v>
      </c>
      <c r="E22" s="5">
        <v>7.8319834251507001E-3</v>
      </c>
      <c r="F22" s="5">
        <v>36</v>
      </c>
      <c r="G22" s="5">
        <v>38.8888888888889</v>
      </c>
    </row>
    <row r="23" spans="1:7" x14ac:dyDescent="0.2">
      <c r="A23" s="5" t="str">
        <f t="shared" si="1"/>
        <v>+ SOD</v>
      </c>
      <c r="B23" s="5" t="s">
        <v>178</v>
      </c>
      <c r="C23" s="41" t="s">
        <v>149</v>
      </c>
      <c r="D23" s="42" t="s">
        <v>149</v>
      </c>
      <c r="E23" s="42" t="s">
        <v>149</v>
      </c>
      <c r="F23" s="42" t="s">
        <v>149</v>
      </c>
      <c r="G23" s="42" t="s">
        <v>149</v>
      </c>
    </row>
    <row r="24" spans="1:7" x14ac:dyDescent="0.2">
      <c r="A24" s="5" t="s">
        <v>69</v>
      </c>
      <c r="B24" s="5" t="s">
        <v>128</v>
      </c>
      <c r="C24" s="5">
        <v>0.59798084465168699</v>
      </c>
      <c r="D24" s="5">
        <v>0.41022308064235902</v>
      </c>
      <c r="E24" s="5">
        <v>0.11377541166421699</v>
      </c>
      <c r="F24" s="5">
        <v>13</v>
      </c>
      <c r="G24" s="5">
        <v>100</v>
      </c>
    </row>
    <row r="25" spans="1:7" x14ac:dyDescent="0.2">
      <c r="A25" s="5" t="s">
        <v>69</v>
      </c>
      <c r="B25" s="5" t="s">
        <v>127</v>
      </c>
      <c r="C25" s="5">
        <v>0.29671551740954999</v>
      </c>
      <c r="D25" s="5">
        <v>0.41143620561690802</v>
      </c>
      <c r="E25" s="5">
        <v>0.114111871994931</v>
      </c>
      <c r="F25" s="5">
        <v>13</v>
      </c>
      <c r="G25" s="5">
        <v>53.846153846153797</v>
      </c>
    </row>
    <row r="26" spans="1:7" x14ac:dyDescent="0.2">
      <c r="A26" s="5" t="s">
        <v>69</v>
      </c>
      <c r="B26" s="5" t="s">
        <v>179</v>
      </c>
      <c r="C26" s="5">
        <v>4.2861269391638798E-2</v>
      </c>
      <c r="D26" s="5">
        <v>0.13021467753325799</v>
      </c>
      <c r="E26" s="5">
        <v>3.6115053589551603E-2</v>
      </c>
      <c r="F26" s="5">
        <v>13</v>
      </c>
      <c r="G26" s="5">
        <v>15.384615384615399</v>
      </c>
    </row>
    <row r="27" spans="1:7" x14ac:dyDescent="0.2">
      <c r="A27" s="5" t="s">
        <v>69</v>
      </c>
      <c r="B27" s="5" t="s">
        <v>180</v>
      </c>
      <c r="C27" s="5">
        <v>4.1812347039791697E-2</v>
      </c>
      <c r="D27" s="5">
        <v>0.114061592879526</v>
      </c>
      <c r="E27" s="5">
        <v>3.1634993976017503E-2</v>
      </c>
      <c r="F27" s="5">
        <v>13</v>
      </c>
      <c r="G27" s="5">
        <v>15.384615384615399</v>
      </c>
    </row>
    <row r="28" spans="1:7" x14ac:dyDescent="0.2">
      <c r="A28" s="5" t="s">
        <v>69</v>
      </c>
      <c r="B28" s="5" t="s">
        <v>178</v>
      </c>
      <c r="C28" s="41" t="s">
        <v>149</v>
      </c>
      <c r="D28" s="42" t="s">
        <v>149</v>
      </c>
      <c r="E28" s="42" t="s">
        <v>149</v>
      </c>
      <c r="F28" s="42" t="s">
        <v>149</v>
      </c>
      <c r="G28" s="42" t="s">
        <v>149</v>
      </c>
    </row>
    <row r="29" spans="1:7" x14ac:dyDescent="0.2">
      <c r="A29" s="5" t="s">
        <v>69</v>
      </c>
      <c r="B29" s="5" t="s">
        <v>209</v>
      </c>
      <c r="C29" s="5">
        <v>1.00593242197575E-2</v>
      </c>
      <c r="D29" s="5">
        <v>3.62694092708526E-2</v>
      </c>
      <c r="E29" s="5">
        <v>1.00593242197575E-2</v>
      </c>
      <c r="F29" s="5">
        <v>13</v>
      </c>
      <c r="G29" s="5">
        <v>7.6923076923076898</v>
      </c>
    </row>
    <row r="31" spans="1:7" ht="18" x14ac:dyDescent="0.2">
      <c r="A31" s="1" t="s">
        <v>217</v>
      </c>
    </row>
  </sheetData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7BBC-A31A-7C43-BA7C-11831812001C}">
  <dimension ref="A1:G62"/>
  <sheetViews>
    <sheetView tabSelected="1" topLeftCell="A40" workbookViewId="0">
      <selection activeCell="A62" sqref="A62"/>
    </sheetView>
  </sheetViews>
  <sheetFormatPr baseColWidth="10" defaultRowHeight="16" x14ac:dyDescent="0.2"/>
  <cols>
    <col min="1" max="1" width="17.6640625" bestFit="1" customWidth="1"/>
    <col min="2" max="2" width="32.6640625" bestFit="1" customWidth="1"/>
    <col min="3" max="3" width="27.83203125" bestFit="1" customWidth="1"/>
    <col min="4" max="4" width="20.1640625" bestFit="1" customWidth="1"/>
    <col min="5" max="5" width="16" bestFit="1" customWidth="1"/>
    <col min="6" max="6" width="13.5" bestFit="1" customWidth="1"/>
    <col min="7" max="7" width="20.83203125" bestFit="1" customWidth="1"/>
  </cols>
  <sheetData>
    <row r="1" spans="1:7" ht="17" thickBot="1" x14ac:dyDescent="0.25">
      <c r="A1" s="35" t="s">
        <v>150</v>
      </c>
      <c r="B1" s="12" t="s">
        <v>134</v>
      </c>
      <c r="C1" s="12" t="s">
        <v>173</v>
      </c>
      <c r="D1" s="12" t="s">
        <v>174</v>
      </c>
      <c r="E1" s="12" t="s">
        <v>175</v>
      </c>
      <c r="F1" s="12" t="s">
        <v>176</v>
      </c>
      <c r="G1" s="12" t="s">
        <v>177</v>
      </c>
    </row>
    <row r="2" spans="1:7" x14ac:dyDescent="0.2">
      <c r="A2" s="32" t="str">
        <f>"- SOD"</f>
        <v>- SOD</v>
      </c>
      <c r="B2" s="32" t="s">
        <v>135</v>
      </c>
      <c r="C2" s="32">
        <v>0.13372398407926001</v>
      </c>
      <c r="D2" s="32">
        <v>0.26058326105089902</v>
      </c>
      <c r="E2" s="32">
        <v>4.2272186930565399E-2</v>
      </c>
      <c r="F2" s="32">
        <v>38</v>
      </c>
      <c r="G2" s="32">
        <v>42.105263157894697</v>
      </c>
    </row>
    <row r="3" spans="1:7" x14ac:dyDescent="0.2">
      <c r="A3" s="32" t="str">
        <f t="shared" ref="A3:A23" si="0">"- SOD"</f>
        <v>- SOD</v>
      </c>
      <c r="B3" s="5" t="s">
        <v>183</v>
      </c>
      <c r="C3" s="5">
        <v>0.11987951176806801</v>
      </c>
      <c r="D3" s="5">
        <v>0.26173696518241502</v>
      </c>
      <c r="E3" s="5">
        <v>4.2459342454344302E-2</v>
      </c>
      <c r="F3" s="5">
        <v>38</v>
      </c>
      <c r="G3" s="5">
        <v>26.315789473684202</v>
      </c>
    </row>
    <row r="4" spans="1:7" x14ac:dyDescent="0.2">
      <c r="A4" s="32" t="str">
        <f t="shared" si="0"/>
        <v>- SOD</v>
      </c>
      <c r="B4" s="5" t="s">
        <v>137</v>
      </c>
      <c r="C4" s="5">
        <v>0.11671383391739799</v>
      </c>
      <c r="D4" s="5">
        <v>0.21555718744447799</v>
      </c>
      <c r="E4" s="5">
        <v>3.4967993282193403E-2</v>
      </c>
      <c r="F4" s="5">
        <v>38</v>
      </c>
      <c r="G4" s="5">
        <v>36.842105263157897</v>
      </c>
    </row>
    <row r="5" spans="1:7" x14ac:dyDescent="0.2">
      <c r="A5" s="32" t="str">
        <f t="shared" si="0"/>
        <v>- SOD</v>
      </c>
      <c r="B5" s="5" t="s">
        <v>184</v>
      </c>
      <c r="C5" s="5">
        <v>6.6769815781308001E-2</v>
      </c>
      <c r="D5" s="5">
        <v>0.21744022256952</v>
      </c>
      <c r="E5" s="5">
        <v>3.52734619162169E-2</v>
      </c>
      <c r="F5" s="5">
        <v>38</v>
      </c>
      <c r="G5" s="5">
        <v>15.789473684210501</v>
      </c>
    </row>
    <row r="6" spans="1:7" x14ac:dyDescent="0.2">
      <c r="A6" s="32" t="str">
        <f t="shared" si="0"/>
        <v>- SOD</v>
      </c>
      <c r="B6" s="5" t="s">
        <v>139</v>
      </c>
      <c r="C6" s="5">
        <v>4.9612420628622103E-2</v>
      </c>
      <c r="D6" s="5">
        <v>0.18924932096154801</v>
      </c>
      <c r="E6" s="5">
        <v>3.0700293794414201E-2</v>
      </c>
      <c r="F6" s="5">
        <v>38</v>
      </c>
      <c r="G6" s="5">
        <v>10.526315789473699</v>
      </c>
    </row>
    <row r="7" spans="1:7" x14ac:dyDescent="0.2">
      <c r="A7" s="32" t="str">
        <f t="shared" si="0"/>
        <v>- SOD</v>
      </c>
      <c r="B7" s="5" t="s">
        <v>185</v>
      </c>
      <c r="C7" s="5">
        <v>4.93332648365436E-2</v>
      </c>
      <c r="D7" s="5">
        <v>0.131534935220192</v>
      </c>
      <c r="E7" s="5">
        <v>2.13377841197624E-2</v>
      </c>
      <c r="F7" s="5">
        <v>38</v>
      </c>
      <c r="G7" s="5">
        <v>18.421052631578899</v>
      </c>
    </row>
    <row r="8" spans="1:7" x14ac:dyDescent="0.2">
      <c r="A8" s="32" t="str">
        <f t="shared" si="0"/>
        <v>- SOD</v>
      </c>
      <c r="B8" s="5" t="s">
        <v>186</v>
      </c>
      <c r="C8" s="5">
        <v>4.9087821470395199E-2</v>
      </c>
      <c r="D8" s="5">
        <v>0.17423079965146401</v>
      </c>
      <c r="E8" s="5">
        <v>2.8263967924209599E-2</v>
      </c>
      <c r="F8" s="5">
        <v>38</v>
      </c>
      <c r="G8" s="5">
        <v>18.421052631578899</v>
      </c>
    </row>
    <row r="9" spans="1:7" x14ac:dyDescent="0.2">
      <c r="A9" s="32" t="str">
        <f t="shared" si="0"/>
        <v>- SOD</v>
      </c>
      <c r="B9" s="5" t="s">
        <v>187</v>
      </c>
      <c r="C9" s="5">
        <v>4.2564501689925802E-2</v>
      </c>
      <c r="D9" s="5">
        <v>0.134029917191301</v>
      </c>
      <c r="E9" s="5">
        <v>2.17425236408113E-2</v>
      </c>
      <c r="F9" s="5">
        <v>38</v>
      </c>
      <c r="G9" s="5">
        <v>13.157894736842101</v>
      </c>
    </row>
    <row r="10" spans="1:7" x14ac:dyDescent="0.2">
      <c r="A10" s="32" t="str">
        <f t="shared" si="0"/>
        <v>- SOD</v>
      </c>
      <c r="B10" s="5" t="s">
        <v>188</v>
      </c>
      <c r="C10" s="5">
        <v>4.1503814447605203E-2</v>
      </c>
      <c r="D10" s="5">
        <v>0.165652096283602</v>
      </c>
      <c r="E10" s="5">
        <v>2.6872318472415901E-2</v>
      </c>
      <c r="F10" s="5">
        <v>38</v>
      </c>
      <c r="G10" s="5">
        <v>7.8947368421052602</v>
      </c>
    </row>
    <row r="11" spans="1:7" x14ac:dyDescent="0.2">
      <c r="A11" s="32" t="str">
        <f t="shared" si="0"/>
        <v>- SOD</v>
      </c>
      <c r="B11" s="5" t="s">
        <v>189</v>
      </c>
      <c r="C11" s="5">
        <v>3.2652763270232497E-2</v>
      </c>
      <c r="D11" s="5">
        <v>7.7737574025359496E-2</v>
      </c>
      <c r="E11" s="5">
        <v>1.26106997336517E-2</v>
      </c>
      <c r="F11" s="5">
        <v>38</v>
      </c>
      <c r="G11" s="5">
        <v>50</v>
      </c>
    </row>
    <row r="12" spans="1:7" x14ac:dyDescent="0.2">
      <c r="A12" s="32" t="str">
        <f t="shared" si="0"/>
        <v>- SOD</v>
      </c>
      <c r="B12" s="5" t="s">
        <v>136</v>
      </c>
      <c r="C12" s="5">
        <v>2.9353679411900001E-2</v>
      </c>
      <c r="D12" s="5">
        <v>9.67756792030873E-2</v>
      </c>
      <c r="E12" s="5">
        <v>1.5699088211219601E-2</v>
      </c>
      <c r="F12" s="5">
        <v>38</v>
      </c>
      <c r="G12" s="5">
        <v>18.421052631578899</v>
      </c>
    </row>
    <row r="13" spans="1:7" x14ac:dyDescent="0.2">
      <c r="A13" s="32" t="str">
        <f t="shared" si="0"/>
        <v>- SOD</v>
      </c>
      <c r="B13" s="5" t="s">
        <v>178</v>
      </c>
      <c r="C13" s="41" t="s">
        <v>149</v>
      </c>
      <c r="D13" s="42" t="s">
        <v>149</v>
      </c>
      <c r="E13" s="42" t="s">
        <v>149</v>
      </c>
      <c r="F13" s="42" t="s">
        <v>149</v>
      </c>
      <c r="G13" s="42" t="s">
        <v>149</v>
      </c>
    </row>
    <row r="14" spans="1:7" x14ac:dyDescent="0.2">
      <c r="A14" s="32" t="str">
        <f t="shared" si="0"/>
        <v>- SOD</v>
      </c>
      <c r="B14" s="5" t="s">
        <v>190</v>
      </c>
      <c r="C14" s="5">
        <v>2.7841451828944E-2</v>
      </c>
      <c r="D14" s="5">
        <v>0.13769848396123999</v>
      </c>
      <c r="E14" s="5">
        <v>2.2337643755743802E-2</v>
      </c>
      <c r="F14" s="5">
        <v>38</v>
      </c>
      <c r="G14" s="5">
        <v>7.8947368421052602</v>
      </c>
    </row>
    <row r="15" spans="1:7" x14ac:dyDescent="0.2">
      <c r="A15" s="32" t="str">
        <f t="shared" si="0"/>
        <v>- SOD</v>
      </c>
      <c r="B15" s="5" t="s">
        <v>142</v>
      </c>
      <c r="C15" s="5">
        <v>2.52125711714286E-2</v>
      </c>
      <c r="D15" s="5">
        <v>0.12750495145632501</v>
      </c>
      <c r="E15" s="5">
        <v>2.0684034426454001E-2</v>
      </c>
      <c r="F15" s="5">
        <v>38</v>
      </c>
      <c r="G15" s="5">
        <v>7.8947368421052602</v>
      </c>
    </row>
    <row r="16" spans="1:7" x14ac:dyDescent="0.2">
      <c r="A16" s="32" t="str">
        <f t="shared" si="0"/>
        <v>- SOD</v>
      </c>
      <c r="B16" s="5" t="s">
        <v>191</v>
      </c>
      <c r="C16" s="5">
        <v>2.3963205464762698E-2</v>
      </c>
      <c r="D16" s="5">
        <v>9.4975238843120993E-2</v>
      </c>
      <c r="E16" s="5">
        <v>1.5407018217364701E-2</v>
      </c>
      <c r="F16" s="5">
        <v>38</v>
      </c>
      <c r="G16" s="5">
        <v>7.8947368421052602</v>
      </c>
    </row>
    <row r="17" spans="1:7" x14ac:dyDescent="0.2">
      <c r="A17" s="32" t="str">
        <f t="shared" si="0"/>
        <v>- SOD</v>
      </c>
      <c r="B17" s="5" t="s">
        <v>192</v>
      </c>
      <c r="C17" s="5">
        <v>2.1602048672522699E-2</v>
      </c>
      <c r="D17" s="5">
        <v>6.3385620637632006E-2</v>
      </c>
      <c r="E17" s="5">
        <v>1.02825054590921E-2</v>
      </c>
      <c r="F17" s="5">
        <v>38</v>
      </c>
      <c r="G17" s="5">
        <v>18.421052631578899</v>
      </c>
    </row>
    <row r="18" spans="1:7" x14ac:dyDescent="0.2">
      <c r="A18" s="32" t="str">
        <f t="shared" si="0"/>
        <v>- SOD</v>
      </c>
      <c r="B18" s="5" t="s">
        <v>143</v>
      </c>
      <c r="C18" s="5">
        <v>1.85909461501459E-2</v>
      </c>
      <c r="D18" s="5">
        <v>7.9371666320550094E-2</v>
      </c>
      <c r="E18" s="5">
        <v>1.28757845080363E-2</v>
      </c>
      <c r="F18" s="5">
        <v>38</v>
      </c>
      <c r="G18" s="5">
        <v>15.789473684210501</v>
      </c>
    </row>
    <row r="19" spans="1:7" x14ac:dyDescent="0.2">
      <c r="A19" s="32" t="str">
        <f t="shared" si="0"/>
        <v>- SOD</v>
      </c>
      <c r="B19" s="5" t="s">
        <v>193</v>
      </c>
      <c r="C19" s="5">
        <v>1.8490874122647102E-2</v>
      </c>
      <c r="D19" s="5">
        <v>6.3858748871056498E-2</v>
      </c>
      <c r="E19" s="5">
        <v>1.0359256993495301E-2</v>
      </c>
      <c r="F19" s="5">
        <v>38</v>
      </c>
      <c r="G19" s="5">
        <v>15.789473684210501</v>
      </c>
    </row>
    <row r="20" spans="1:7" x14ac:dyDescent="0.2">
      <c r="A20" s="32" t="str">
        <f t="shared" si="0"/>
        <v>- SOD</v>
      </c>
      <c r="B20" s="5" t="s">
        <v>194</v>
      </c>
      <c r="C20" s="5">
        <v>1.52995133890202E-2</v>
      </c>
      <c r="D20" s="5">
        <v>7.3616379076096403E-2</v>
      </c>
      <c r="E20" s="5">
        <v>1.19421536322253E-2</v>
      </c>
      <c r="F20" s="5">
        <v>38</v>
      </c>
      <c r="G20" s="5">
        <v>10.526315789473699</v>
      </c>
    </row>
    <row r="21" spans="1:7" x14ac:dyDescent="0.2">
      <c r="A21" s="32" t="str">
        <f t="shared" si="0"/>
        <v>- SOD</v>
      </c>
      <c r="B21" s="5" t="s">
        <v>195</v>
      </c>
      <c r="C21" s="5">
        <v>1.4355596580353E-2</v>
      </c>
      <c r="D21" s="5">
        <v>4.0275330215810798E-2</v>
      </c>
      <c r="E21" s="5">
        <v>6.5335213041195798E-3</v>
      </c>
      <c r="F21" s="5">
        <v>38</v>
      </c>
      <c r="G21" s="5">
        <v>15.789473684210501</v>
      </c>
    </row>
    <row r="22" spans="1:7" x14ac:dyDescent="0.2">
      <c r="A22" s="32" t="str">
        <f t="shared" si="0"/>
        <v>- SOD</v>
      </c>
      <c r="B22" s="5" t="s">
        <v>196</v>
      </c>
      <c r="C22" s="5">
        <v>1.2657592686438599E-2</v>
      </c>
      <c r="D22" s="5">
        <v>6.9506794838156097E-2</v>
      </c>
      <c r="E22" s="5">
        <v>1.127549103689E-2</v>
      </c>
      <c r="F22" s="5">
        <v>38</v>
      </c>
      <c r="G22" s="5">
        <v>7.8947368421052602</v>
      </c>
    </row>
    <row r="23" spans="1:7" x14ac:dyDescent="0.2">
      <c r="A23" s="32" t="str">
        <f t="shared" si="0"/>
        <v>- SOD</v>
      </c>
      <c r="B23" s="5" t="s">
        <v>141</v>
      </c>
      <c r="C23" s="5">
        <v>1.17960509794396E-2</v>
      </c>
      <c r="D23" s="5">
        <v>3.8322221878259899E-2</v>
      </c>
      <c r="E23" s="5">
        <v>6.2166852939797203E-3</v>
      </c>
      <c r="F23" s="5">
        <v>38</v>
      </c>
      <c r="G23" s="5">
        <v>13.157894736842101</v>
      </c>
    </row>
    <row r="24" spans="1:7" x14ac:dyDescent="0.2">
      <c r="A24" s="5" t="str">
        <f>"+ SOD"</f>
        <v>+ SOD</v>
      </c>
      <c r="B24" s="5" t="s">
        <v>135</v>
      </c>
      <c r="C24" s="5">
        <v>0.210935496870508</v>
      </c>
      <c r="D24" s="5">
        <v>0.34319023446748897</v>
      </c>
      <c r="E24" s="5">
        <v>5.7198372411248199E-2</v>
      </c>
      <c r="F24" s="5">
        <v>36</v>
      </c>
      <c r="G24" s="5">
        <v>38.8888888888889</v>
      </c>
    </row>
    <row r="25" spans="1:7" x14ac:dyDescent="0.2">
      <c r="A25" s="5" t="str">
        <f t="shared" ref="A25:A46" si="1">"+ SOD"</f>
        <v>+ SOD</v>
      </c>
      <c r="B25" s="5" t="s">
        <v>186</v>
      </c>
      <c r="C25" s="5">
        <v>0.13972727971862201</v>
      </c>
      <c r="D25" s="5">
        <v>0.28062513029925301</v>
      </c>
      <c r="E25" s="5">
        <v>4.6770855049875597E-2</v>
      </c>
      <c r="F25" s="5">
        <v>36</v>
      </c>
      <c r="G25" s="5">
        <v>47.2222222222222</v>
      </c>
    </row>
    <row r="26" spans="1:7" x14ac:dyDescent="0.2">
      <c r="A26" s="5" t="str">
        <f t="shared" si="1"/>
        <v>+ SOD</v>
      </c>
      <c r="B26" s="5" t="s">
        <v>137</v>
      </c>
      <c r="C26" s="5">
        <v>6.5310784791337007E-2</v>
      </c>
      <c r="D26" s="5">
        <v>0.19232999312354301</v>
      </c>
      <c r="E26" s="5">
        <v>3.2054998853923801E-2</v>
      </c>
      <c r="F26" s="5">
        <v>36</v>
      </c>
      <c r="G26" s="5">
        <v>33.3333333333333</v>
      </c>
    </row>
    <row r="27" spans="1:7" x14ac:dyDescent="0.2">
      <c r="A27" s="5" t="str">
        <f t="shared" si="1"/>
        <v>+ SOD</v>
      </c>
      <c r="B27" s="5" t="s">
        <v>178</v>
      </c>
      <c r="C27" s="41" t="s">
        <v>149</v>
      </c>
      <c r="D27" s="42" t="s">
        <v>149</v>
      </c>
      <c r="E27" s="42" t="s">
        <v>149</v>
      </c>
      <c r="F27" s="42" t="s">
        <v>149</v>
      </c>
      <c r="G27" s="42" t="s">
        <v>149</v>
      </c>
    </row>
    <row r="28" spans="1:7" x14ac:dyDescent="0.2">
      <c r="A28" s="5" t="str">
        <f t="shared" si="1"/>
        <v>+ SOD</v>
      </c>
      <c r="B28" s="5" t="s">
        <v>183</v>
      </c>
      <c r="C28" s="5">
        <v>5.0570235485437098E-2</v>
      </c>
      <c r="D28" s="5">
        <v>0.14315313421831499</v>
      </c>
      <c r="E28" s="5">
        <v>2.38588557030525E-2</v>
      </c>
      <c r="F28" s="5">
        <v>36</v>
      </c>
      <c r="G28" s="5">
        <v>16.6666666666667</v>
      </c>
    </row>
    <row r="29" spans="1:7" x14ac:dyDescent="0.2">
      <c r="A29" s="5" t="str">
        <f t="shared" si="1"/>
        <v>+ SOD</v>
      </c>
      <c r="B29" s="5" t="s">
        <v>141</v>
      </c>
      <c r="C29" s="5">
        <v>3.7549476114460197E-2</v>
      </c>
      <c r="D29" s="5">
        <v>0.10092065898942</v>
      </c>
      <c r="E29" s="5">
        <v>1.68201098315699E-2</v>
      </c>
      <c r="F29" s="5">
        <v>36</v>
      </c>
      <c r="G29" s="5">
        <v>19.4444444444444</v>
      </c>
    </row>
    <row r="30" spans="1:7" x14ac:dyDescent="0.2">
      <c r="A30" s="5" t="str">
        <f t="shared" si="1"/>
        <v>+ SOD</v>
      </c>
      <c r="B30" s="5" t="s">
        <v>138</v>
      </c>
      <c r="C30" s="5">
        <v>3.5641385158043402E-2</v>
      </c>
      <c r="D30" s="5">
        <v>0.13472717001964399</v>
      </c>
      <c r="E30" s="5">
        <v>2.2454528336607299E-2</v>
      </c>
      <c r="F30" s="5">
        <v>36</v>
      </c>
      <c r="G30" s="5">
        <v>11.1111111111111</v>
      </c>
    </row>
    <row r="31" spans="1:7" x14ac:dyDescent="0.2">
      <c r="A31" s="5" t="str">
        <f t="shared" si="1"/>
        <v>+ SOD</v>
      </c>
      <c r="B31" s="5" t="s">
        <v>184</v>
      </c>
      <c r="C31" s="5">
        <v>3.4552333668144801E-2</v>
      </c>
      <c r="D31" s="5">
        <v>9.7881971334059306E-2</v>
      </c>
      <c r="E31" s="5">
        <v>1.6313661889009901E-2</v>
      </c>
      <c r="F31" s="5">
        <v>36</v>
      </c>
      <c r="G31" s="5">
        <v>27.7777777777778</v>
      </c>
    </row>
    <row r="32" spans="1:7" x14ac:dyDescent="0.2">
      <c r="A32" s="5" t="str">
        <f t="shared" si="1"/>
        <v>+ SOD</v>
      </c>
      <c r="B32" s="5" t="s">
        <v>197</v>
      </c>
      <c r="C32" s="5">
        <v>3.3549343224757597E-2</v>
      </c>
      <c r="D32" s="5">
        <v>0.14022653272139399</v>
      </c>
      <c r="E32" s="5">
        <v>2.3371088786898999E-2</v>
      </c>
      <c r="F32" s="5">
        <v>36</v>
      </c>
      <c r="G32" s="5">
        <v>25</v>
      </c>
    </row>
    <row r="33" spans="1:7" x14ac:dyDescent="0.2">
      <c r="A33" s="5" t="str">
        <f t="shared" si="1"/>
        <v>+ SOD</v>
      </c>
      <c r="B33" s="5" t="s">
        <v>140</v>
      </c>
      <c r="C33" s="5">
        <v>3.126601853864E-2</v>
      </c>
      <c r="D33" s="5">
        <v>0.10854523695302599</v>
      </c>
      <c r="E33" s="5">
        <v>1.8090872825504301E-2</v>
      </c>
      <c r="F33" s="5">
        <v>36</v>
      </c>
      <c r="G33" s="5">
        <v>13.8888888888889</v>
      </c>
    </row>
    <row r="34" spans="1:7" x14ac:dyDescent="0.2">
      <c r="A34" s="5" t="str">
        <f t="shared" si="1"/>
        <v>+ SOD</v>
      </c>
      <c r="B34" s="5" t="s">
        <v>142</v>
      </c>
      <c r="C34" s="5">
        <v>2.9499833486265399E-2</v>
      </c>
      <c r="D34" s="5">
        <v>0.102583893443844</v>
      </c>
      <c r="E34" s="5">
        <v>1.7097315573973999E-2</v>
      </c>
      <c r="F34" s="5">
        <v>36</v>
      </c>
      <c r="G34" s="5">
        <v>11.1111111111111</v>
      </c>
    </row>
    <row r="35" spans="1:7" x14ac:dyDescent="0.2">
      <c r="A35" s="5" t="str">
        <f t="shared" si="1"/>
        <v>+ SOD</v>
      </c>
      <c r="B35" s="5" t="s">
        <v>198</v>
      </c>
      <c r="C35" s="5">
        <v>2.6499765818308301E-2</v>
      </c>
      <c r="D35" s="5">
        <v>0.11238341187046701</v>
      </c>
      <c r="E35" s="5">
        <v>1.87305686450778E-2</v>
      </c>
      <c r="F35" s="5">
        <v>36</v>
      </c>
      <c r="G35" s="5">
        <v>5.5555555555555598</v>
      </c>
    </row>
    <row r="36" spans="1:7" x14ac:dyDescent="0.2">
      <c r="A36" s="5" t="str">
        <f t="shared" si="1"/>
        <v>+ SOD</v>
      </c>
      <c r="B36" s="5" t="s">
        <v>199</v>
      </c>
      <c r="C36" s="5">
        <v>2.3619312375449501E-2</v>
      </c>
      <c r="D36" s="5">
        <v>0.102472246026881</v>
      </c>
      <c r="E36" s="5">
        <v>1.70787076711468E-2</v>
      </c>
      <c r="F36" s="5">
        <v>36</v>
      </c>
      <c r="G36" s="5">
        <v>19.4444444444444</v>
      </c>
    </row>
    <row r="37" spans="1:7" x14ac:dyDescent="0.2">
      <c r="A37" s="5" t="str">
        <f t="shared" si="1"/>
        <v>+ SOD</v>
      </c>
      <c r="B37" s="5" t="s">
        <v>188</v>
      </c>
      <c r="C37" s="5">
        <v>2.3291457711923699E-2</v>
      </c>
      <c r="D37" s="5">
        <v>0.100374630360964</v>
      </c>
      <c r="E37" s="5">
        <v>1.67291050601606E-2</v>
      </c>
      <c r="F37" s="5">
        <v>36</v>
      </c>
      <c r="G37" s="5">
        <v>8.3333333333333304</v>
      </c>
    </row>
    <row r="38" spans="1:7" x14ac:dyDescent="0.2">
      <c r="A38" s="5" t="str">
        <f t="shared" si="1"/>
        <v>+ SOD</v>
      </c>
      <c r="B38" s="5" t="s">
        <v>194</v>
      </c>
      <c r="C38" s="5">
        <v>2.1084340808276199E-2</v>
      </c>
      <c r="D38" s="5">
        <v>7.6441784698250304E-2</v>
      </c>
      <c r="E38" s="5">
        <v>1.27402974497084E-2</v>
      </c>
      <c r="F38" s="5">
        <v>36</v>
      </c>
      <c r="G38" s="5">
        <v>16.6666666666667</v>
      </c>
    </row>
    <row r="39" spans="1:7" x14ac:dyDescent="0.2">
      <c r="A39" s="5" t="str">
        <f t="shared" si="1"/>
        <v>+ SOD</v>
      </c>
      <c r="B39" s="5" t="s">
        <v>200</v>
      </c>
      <c r="C39" s="5">
        <v>2.05415396937021E-2</v>
      </c>
      <c r="D39" s="5">
        <v>0.123249238162213</v>
      </c>
      <c r="E39" s="5">
        <v>2.05415396937021E-2</v>
      </c>
      <c r="F39" s="5">
        <v>36</v>
      </c>
      <c r="G39" s="5">
        <v>2.7777777777777799</v>
      </c>
    </row>
    <row r="40" spans="1:7" x14ac:dyDescent="0.2">
      <c r="A40" s="5" t="str">
        <f t="shared" si="1"/>
        <v>+ SOD</v>
      </c>
      <c r="B40" s="5" t="s">
        <v>201</v>
      </c>
      <c r="C40" s="5">
        <v>2.0248555414461002E-2</v>
      </c>
      <c r="D40" s="5">
        <v>4.8190552238880399E-2</v>
      </c>
      <c r="E40" s="5">
        <v>8.0317587064800706E-3</v>
      </c>
      <c r="F40" s="5">
        <v>36</v>
      </c>
      <c r="G40" s="5">
        <v>25</v>
      </c>
    </row>
    <row r="41" spans="1:7" x14ac:dyDescent="0.2">
      <c r="A41" s="5" t="str">
        <f t="shared" si="1"/>
        <v>+ SOD</v>
      </c>
      <c r="B41" s="5" t="s">
        <v>196</v>
      </c>
      <c r="C41" s="5">
        <v>1.93637015297425E-2</v>
      </c>
      <c r="D41" s="5">
        <v>7.9017040106443906E-2</v>
      </c>
      <c r="E41" s="5">
        <v>1.3169506684407299E-2</v>
      </c>
      <c r="F41" s="5">
        <v>36</v>
      </c>
      <c r="G41" s="5">
        <v>8.3333333333333304</v>
      </c>
    </row>
    <row r="42" spans="1:7" x14ac:dyDescent="0.2">
      <c r="A42" s="5" t="str">
        <f t="shared" si="1"/>
        <v>+ SOD</v>
      </c>
      <c r="B42" s="5" t="s">
        <v>136</v>
      </c>
      <c r="C42" s="5">
        <v>1.6741563653096501E-2</v>
      </c>
      <c r="D42" s="5">
        <v>8.9925615689914598E-2</v>
      </c>
      <c r="E42" s="5">
        <v>1.4987602614985799E-2</v>
      </c>
      <c r="F42" s="5">
        <v>36</v>
      </c>
      <c r="G42" s="5">
        <v>11.1111111111111</v>
      </c>
    </row>
    <row r="43" spans="1:7" x14ac:dyDescent="0.2">
      <c r="A43" s="5" t="str">
        <f t="shared" si="1"/>
        <v>+ SOD</v>
      </c>
      <c r="B43" s="5" t="s">
        <v>202</v>
      </c>
      <c r="C43" s="5">
        <v>1.6445787909745199E-2</v>
      </c>
      <c r="D43" s="5">
        <v>9.8674727458471501E-2</v>
      </c>
      <c r="E43" s="5">
        <v>1.64457879097453E-2</v>
      </c>
      <c r="F43" s="5">
        <v>36</v>
      </c>
      <c r="G43" s="5">
        <v>2.7777777777777799</v>
      </c>
    </row>
    <row r="44" spans="1:7" x14ac:dyDescent="0.2">
      <c r="A44" s="5" t="str">
        <f t="shared" si="1"/>
        <v>+ SOD</v>
      </c>
      <c r="B44" s="5" t="s">
        <v>144</v>
      </c>
      <c r="C44" s="5">
        <v>1.60235652361637E-2</v>
      </c>
      <c r="D44" s="5">
        <v>9.6141391416981997E-2</v>
      </c>
      <c r="E44" s="5">
        <v>1.60235652361637E-2</v>
      </c>
      <c r="F44" s="5">
        <v>36</v>
      </c>
      <c r="G44" s="5">
        <v>2.7777777777777799</v>
      </c>
    </row>
    <row r="45" spans="1:7" x14ac:dyDescent="0.2">
      <c r="A45" s="5" t="str">
        <f t="shared" si="1"/>
        <v>+ SOD</v>
      </c>
      <c r="B45" s="5" t="s">
        <v>145</v>
      </c>
      <c r="C45" s="5">
        <v>1.04556676057203E-2</v>
      </c>
      <c r="D45" s="5">
        <v>5.12109949774497E-2</v>
      </c>
      <c r="E45" s="5">
        <v>8.5351658295749599E-3</v>
      </c>
      <c r="F45" s="5">
        <v>36</v>
      </c>
      <c r="G45" s="5">
        <v>5.5555555555555598</v>
      </c>
    </row>
    <row r="46" spans="1:7" x14ac:dyDescent="0.2">
      <c r="A46" s="5" t="str">
        <f t="shared" si="1"/>
        <v>+ SOD</v>
      </c>
      <c r="B46" s="5" t="s">
        <v>191</v>
      </c>
      <c r="C46" s="5">
        <v>9.9858981995833204E-3</v>
      </c>
      <c r="D46" s="5">
        <v>5.9851823318774498E-2</v>
      </c>
      <c r="E46" s="5">
        <v>9.97530388646241E-3</v>
      </c>
      <c r="F46" s="5">
        <v>36</v>
      </c>
      <c r="G46" s="5">
        <v>8.3333333333333304</v>
      </c>
    </row>
    <row r="47" spans="1:7" x14ac:dyDescent="0.2">
      <c r="A47" s="5" t="s">
        <v>69</v>
      </c>
      <c r="B47" s="5" t="s">
        <v>194</v>
      </c>
      <c r="C47" s="5">
        <v>0.24147348869687699</v>
      </c>
      <c r="D47" s="5">
        <v>0.38063856429526399</v>
      </c>
      <c r="E47" s="5">
        <v>0.105570143152736</v>
      </c>
      <c r="F47" s="5">
        <v>13</v>
      </c>
      <c r="G47" s="5">
        <v>46.153846153846203</v>
      </c>
    </row>
    <row r="48" spans="1:7" x14ac:dyDescent="0.2">
      <c r="A48" s="5" t="s">
        <v>69</v>
      </c>
      <c r="B48" s="5" t="s">
        <v>195</v>
      </c>
      <c r="C48" s="5">
        <v>0.129713615717748</v>
      </c>
      <c r="D48" s="5">
        <v>0.28942517604823098</v>
      </c>
      <c r="E48" s="5">
        <v>8.0272100973237698E-2</v>
      </c>
      <c r="F48" s="5">
        <v>13</v>
      </c>
      <c r="G48" s="5">
        <v>23.076923076923102</v>
      </c>
    </row>
    <row r="49" spans="1:7" x14ac:dyDescent="0.2">
      <c r="A49" s="5" t="s">
        <v>69</v>
      </c>
      <c r="B49" s="5" t="s">
        <v>140</v>
      </c>
      <c r="C49" s="5">
        <v>0.119645638583092</v>
      </c>
      <c r="D49" s="5">
        <v>0.267932185151108</v>
      </c>
      <c r="E49" s="5">
        <v>7.4311017839187005E-2</v>
      </c>
      <c r="F49" s="5">
        <v>13</v>
      </c>
      <c r="G49" s="5">
        <v>23.076923076923102</v>
      </c>
    </row>
    <row r="50" spans="1:7" x14ac:dyDescent="0.2">
      <c r="A50" s="5" t="s">
        <v>69</v>
      </c>
      <c r="B50" s="5" t="s">
        <v>136</v>
      </c>
      <c r="C50" s="5">
        <v>8.4917767997445701E-2</v>
      </c>
      <c r="D50" s="5">
        <v>0.27644443297080801</v>
      </c>
      <c r="E50" s="5">
        <v>7.6671890607139803E-2</v>
      </c>
      <c r="F50" s="5">
        <v>13</v>
      </c>
      <c r="G50" s="5">
        <v>15.384615384615399</v>
      </c>
    </row>
    <row r="51" spans="1:7" x14ac:dyDescent="0.2">
      <c r="A51" s="5" t="s">
        <v>69</v>
      </c>
      <c r="B51" s="5" t="s">
        <v>135</v>
      </c>
      <c r="C51" s="5">
        <v>7.6649894361907694E-2</v>
      </c>
      <c r="D51" s="5">
        <v>0.192269628681601</v>
      </c>
      <c r="E51" s="5">
        <v>5.3326000378917902E-2</v>
      </c>
      <c r="F51" s="5">
        <v>13</v>
      </c>
      <c r="G51" s="5">
        <v>23.076923076923102</v>
      </c>
    </row>
    <row r="52" spans="1:7" x14ac:dyDescent="0.2">
      <c r="A52" s="5" t="s">
        <v>69</v>
      </c>
      <c r="B52" s="5" t="s">
        <v>201</v>
      </c>
      <c r="C52" s="5">
        <v>7.3898847096598497E-2</v>
      </c>
      <c r="D52" s="5">
        <v>0.263248069906098</v>
      </c>
      <c r="E52" s="5">
        <v>7.3011878016412804E-2</v>
      </c>
      <c r="F52" s="5">
        <v>13</v>
      </c>
      <c r="G52" s="5">
        <v>15.384615384615399</v>
      </c>
    </row>
    <row r="53" spans="1:7" x14ac:dyDescent="0.2">
      <c r="A53" s="5" t="s">
        <v>69</v>
      </c>
      <c r="B53" s="5" t="s">
        <v>210</v>
      </c>
      <c r="C53" s="5">
        <v>6.5513753876244404E-2</v>
      </c>
      <c r="D53" s="5">
        <v>0.236213198848927</v>
      </c>
      <c r="E53" s="5">
        <v>6.5513753876244404E-2</v>
      </c>
      <c r="F53" s="5">
        <v>13</v>
      </c>
      <c r="G53" s="5">
        <v>7.6923076923076898</v>
      </c>
    </row>
    <row r="54" spans="1:7" x14ac:dyDescent="0.2">
      <c r="A54" s="5" t="s">
        <v>69</v>
      </c>
      <c r="B54" s="5" t="s">
        <v>187</v>
      </c>
      <c r="C54" s="5">
        <v>4.1800462668779501E-2</v>
      </c>
      <c r="D54" s="5">
        <v>0.11404972244339499</v>
      </c>
      <c r="E54" s="5">
        <v>3.1631701709391898E-2</v>
      </c>
      <c r="F54" s="5">
        <v>13</v>
      </c>
      <c r="G54" s="5">
        <v>15.384615384615399</v>
      </c>
    </row>
    <row r="55" spans="1:7" x14ac:dyDescent="0.2">
      <c r="A55" s="5" t="s">
        <v>69</v>
      </c>
      <c r="B55" s="5" t="s">
        <v>185</v>
      </c>
      <c r="C55" s="5">
        <v>3.8190088000817198E-2</v>
      </c>
      <c r="D55" s="5">
        <v>8.87439989237363E-2</v>
      </c>
      <c r="E55" s="5">
        <v>2.4613156808404001E-2</v>
      </c>
      <c r="F55" s="5">
        <v>13</v>
      </c>
      <c r="G55" s="5">
        <v>23.076923076923102</v>
      </c>
    </row>
    <row r="56" spans="1:7" x14ac:dyDescent="0.2">
      <c r="A56" s="5" t="s">
        <v>69</v>
      </c>
      <c r="B56" s="5" t="s">
        <v>211</v>
      </c>
      <c r="C56" s="5">
        <v>3.6037770561381403E-2</v>
      </c>
      <c r="D56" s="5">
        <v>0.129936029612467</v>
      </c>
      <c r="E56" s="5">
        <v>3.6037770561381403E-2</v>
      </c>
      <c r="F56" s="5">
        <v>13</v>
      </c>
      <c r="G56" s="5">
        <v>7.6923076923076898</v>
      </c>
    </row>
    <row r="57" spans="1:7" x14ac:dyDescent="0.2">
      <c r="A57" s="5" t="s">
        <v>69</v>
      </c>
      <c r="B57" s="5" t="s">
        <v>148</v>
      </c>
      <c r="C57" s="5">
        <v>3.4491321868224303E-2</v>
      </c>
      <c r="D57" s="5">
        <v>0.124360229554415</v>
      </c>
      <c r="E57" s="5">
        <v>3.4491321868224303E-2</v>
      </c>
      <c r="F57" s="5">
        <v>13</v>
      </c>
      <c r="G57" s="5">
        <v>7.6923076923076898</v>
      </c>
    </row>
    <row r="58" spans="1:7" x14ac:dyDescent="0.2">
      <c r="A58" s="5" t="s">
        <v>69</v>
      </c>
      <c r="B58" s="5" t="s">
        <v>206</v>
      </c>
      <c r="C58" s="5">
        <v>1.2469823450611201E-2</v>
      </c>
      <c r="D58" s="5">
        <v>4.1463033166233003E-2</v>
      </c>
      <c r="E58" s="5">
        <v>1.14997763167013E-2</v>
      </c>
      <c r="F58" s="5">
        <v>13</v>
      </c>
      <c r="G58" s="5">
        <v>15.384615384615399</v>
      </c>
    </row>
    <row r="59" spans="1:7" x14ac:dyDescent="0.2">
      <c r="A59" s="5" t="s">
        <v>69</v>
      </c>
      <c r="B59" s="5" t="s">
        <v>178</v>
      </c>
      <c r="C59" s="41" t="s">
        <v>149</v>
      </c>
      <c r="D59" s="42" t="s">
        <v>149</v>
      </c>
      <c r="E59" s="42" t="s">
        <v>149</v>
      </c>
      <c r="F59" s="42" t="s">
        <v>149</v>
      </c>
      <c r="G59" s="42" t="s">
        <v>149</v>
      </c>
    </row>
    <row r="60" spans="1:7" x14ac:dyDescent="0.2">
      <c r="A60" s="5" t="s">
        <v>69</v>
      </c>
      <c r="B60" s="5" t="s">
        <v>212</v>
      </c>
      <c r="C60" s="5">
        <v>1.00593242197575E-2</v>
      </c>
      <c r="D60" s="5">
        <v>3.62694092708526E-2</v>
      </c>
      <c r="E60" s="5">
        <v>1.00593242197575E-2</v>
      </c>
      <c r="F60" s="5">
        <v>13</v>
      </c>
      <c r="G60" s="5">
        <v>7.6923076923076898</v>
      </c>
    </row>
    <row r="62" spans="1:7" ht="18" x14ac:dyDescent="0.2">
      <c r="A62" s="1" t="s">
        <v>218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S1-ANOVA</vt:lpstr>
      <vt:lpstr>S2-PERMANOVA</vt:lpstr>
      <vt:lpstr>S3-16S_Trtuntrt_nowf_phylum</vt:lpstr>
      <vt:lpstr>S4-16S_Trtuntrt_nowf_genus</vt:lpstr>
      <vt:lpstr>S5-ITS_Trtuntrt_nowf_phylum</vt:lpstr>
      <vt:lpstr>S6-ITS_Trtuntrt_nowf_genus</vt:lpstr>
      <vt:lpstr>S7-Rps10_Trtuntrt_nowf_genus</vt:lpstr>
      <vt:lpstr>S8-Rps10_Trtuntrt_nowf_species</vt:lpstr>
      <vt:lpstr>S9-16S_YrSinceTrt_nowf_phylum</vt:lpstr>
      <vt:lpstr>S10-16S_YrSinceTrt_nowf_genus</vt:lpstr>
      <vt:lpstr>S11-ITS_YrSinceTrt_nowf_phylum</vt:lpstr>
      <vt:lpstr>S12-ITS_YrSinceTrt_nowf_genus</vt:lpstr>
      <vt:lpstr>S13-Rps10_YrSinceTrt_nowf_genus</vt:lpstr>
      <vt:lpstr>S14-Rps10_YrSinceTrt_nowf_spec</vt:lpstr>
      <vt:lpstr>S15-16S_Fire_mod_wf_phylum</vt:lpstr>
      <vt:lpstr>S16-16S_Fire_mod_wf_genus</vt:lpstr>
      <vt:lpstr>S17-ITS_Fire_mod_wf_phylum</vt:lpstr>
      <vt:lpstr>S18-ITS_Fire_mod_wf_genus</vt:lpstr>
      <vt:lpstr>S19-Rps10_Fire_mod_wf_genus</vt:lpstr>
      <vt:lpstr>S20-Rps10_Fire_mod_wf_species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Sudermann, Martha</dc:creator>
  <cp:lastModifiedBy>Sudermann, Martha</cp:lastModifiedBy>
  <dcterms:created xsi:type="dcterms:W3CDTF">2025-02-25T20:12:25Z</dcterms:created>
  <dcterms:modified xsi:type="dcterms:W3CDTF">2025-12-05T21:20:57Z</dcterms:modified>
</cp:coreProperties>
</file>